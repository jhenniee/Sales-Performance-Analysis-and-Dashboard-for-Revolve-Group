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pivotTables/pivotTable9.xml" ContentType="application/vnd.openxmlformats-officedocument.spreadsheetml.pivotTable+xml"/>
  <Override PartName="/xl/drawings/drawing12.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DELL\Documents\portfolio\"/>
    </mc:Choice>
  </mc:AlternateContent>
  <xr:revisionPtr revIDLastSave="0" documentId="13_ncr:1_{BCB1A1B9-2CF2-49C1-81E2-EF72FAC3403F}" xr6:coauthVersionLast="47" xr6:coauthVersionMax="47" xr10:uidLastSave="{00000000-0000-0000-0000-000000000000}"/>
  <bookViews>
    <workbookView xWindow="-110" yWindow="-110" windowWidth="19420" windowHeight="10300" activeTab="1" xr2:uid="{00000000-000D-0000-FFFF-FFFF00000000}"/>
  </bookViews>
  <sheets>
    <sheet name="Task" sheetId="15" r:id="rId1"/>
    <sheet name="Data" sheetId="17" r:id="rId2"/>
    <sheet name="Pivot Table Diagram" sheetId="4" r:id="rId3"/>
    <sheet name="Pre- analisis board" sheetId="19" r:id="rId4"/>
    <sheet name="Sales by Rep" sheetId="20" r:id="rId5"/>
    <sheet name="Sales by Region" sheetId="22" r:id="rId6"/>
    <sheet name="top ten customers" sheetId="23" r:id="rId7"/>
    <sheet name="Sales Trend" sheetId="25" r:id="rId8"/>
    <sheet name="Sales by product" sheetId="26" r:id="rId9"/>
    <sheet name="Transaction by Amount." sheetId="28" r:id="rId10"/>
    <sheet name="Top 5 cities by revenue " sheetId="33" r:id="rId11"/>
    <sheet name="Top 6 ship cities by revenue" sheetId="31" r:id="rId12"/>
    <sheet name="in-analysis board" sheetId="18" r:id="rId13"/>
    <sheet name="Performance by state" sheetId="29" r:id="rId14"/>
    <sheet name="Dash Board" sheetId="32" r:id="rId15"/>
    <sheet name="Post- analisis board  Observati" sheetId="35" r:id="rId16"/>
    <sheet name="Post- analyisis Recommendation " sheetId="34" r:id="rId17"/>
  </sheets>
  <definedNames>
    <definedName name="_xlnm._FilterDatabase" localSheetId="1" hidden="1">Data!$A$1:$Z$370</definedName>
    <definedName name="_xlchart.v5.0" hidden="1">'Performance by state'!$D$3</definedName>
    <definedName name="_xlchart.v5.1" hidden="1">'Performance by state'!$D$4:$D$16</definedName>
    <definedName name="_xlchart.v5.2" hidden="1">'Performance by state'!$E$3</definedName>
    <definedName name="_xlchart.v5.3" hidden="1">'Performance by state'!$E$4:$E$16</definedName>
    <definedName name="_xlchart.v5.4" hidden="1">'Performance by state'!$D$3</definedName>
    <definedName name="_xlchart.v5.5" hidden="1">'Performance by state'!$D$4:$D$16</definedName>
    <definedName name="_xlchart.v5.6" hidden="1">'Performance by state'!$E$3</definedName>
    <definedName name="_xlchart.v5.7" hidden="1">'Performance by state'!$E$4:$E$16</definedName>
    <definedName name="Slicer_Product_Name">#N/A</definedName>
    <definedName name="Slicer_Region">#N/A</definedName>
    <definedName name="Slicer_Salesperson">#N/A</definedName>
    <definedName name="Slicer_State">#N/A</definedName>
  </definedNames>
  <calcPr calcId="191029"/>
  <pivotCaches>
    <pivotCache cacheId="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<sst xmlns="http://schemas.openxmlformats.org/spreadsheetml/2006/main" count="5903" uniqueCount="194">
  <si>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</si>
  <si>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</si>
  <si>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</si>
  <si>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</si>
  <si>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</si>
  <si>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</si>
  <si>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</si>
  <si>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</si>
  <si>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</si>
  <si>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</si>
  <si>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</si>
  <si>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</si>
  <si>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</si>
  <si>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</si>
  <si>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</si>
  <si>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</si>
  <si>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</si>
  <si>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</si>
  <si>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</si>
  <si>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</si>
  <si>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</si>
  <si>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</si>
  <si>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</si>
  <si>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</si>
  <si>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</si>
  <si>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</si>
  <si>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</si>
  <si>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</si>
  <si>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</si>
  <si>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</si>
  <si>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</si>
  <si>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</si>
  <si>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</si>
  <si>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</si>
  <si>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</si>
  <si>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</si>
  <si>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</si>
  <si>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</si>
  <si>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</si>
  <si>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</si>
  <si>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</si>
  <si>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</si>
  <si>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</si>
  <si>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</si>
  <si>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</si>
  <si>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</si>
  <si>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</si>
  <si>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</si>
  <si>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</si>
  <si>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</si>
  <si>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</si>
  <si>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</si>
  <si>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</si>
  <si>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</si>
  <si>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</si>
  <si>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</si>
  <si>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</si>
  <si>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</si>
  <si>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</si>
  <si>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</si>
  <si>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</si>
  <si>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</si>
  <si>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</si>
  <si>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</si>
  <si>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</si>
  <si>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</si>
  <si>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</si>
  <si>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</si>
  <si>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</si>
  <si>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</si>
  <si>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</si>
  <si>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</si>
  <si>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</si>
  <si>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</si>
  <si>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</si>
  <si>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</si>
  <si>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</si>
  <si>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</si>
  <si>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</si>
  <si>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</si>
  <si>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</si>
  <si>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</si>
  <si>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</si>
  <si>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</si>
  <si>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</si>
  <si>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</si>
  <si>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</si>
  <si>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</si>
  <si>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</si>
  <si>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</si>
  <si>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</si>
  <si>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</si>
  <si>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</si>
  <si>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</si>
  <si>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</si>
  <si>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</si>
  <si>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</si>
  <si>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</si>
  <si>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</si>
  <si>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</si>
  <si>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</si>
  <si>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</si>
  <si>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</si>
  <si>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</si>
  <si>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</si>
  <si>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</si>
  <si>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</si>
  <si>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</si>
  <si>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</si>
  <si>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</si>
  <si>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</si>
  <si>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</si>
  <si>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</si>
  <si>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</si>
  <si>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</si>
  <si>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</si>
  <si>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</si>
  <si>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</si>
  <si>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</si>
  <si>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</si>
  <si>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</si>
  <si>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</si>
  <si>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</si>
  <si>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</si>
  <si>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</si>
  <si>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</si>
  <si>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</si>
  <si>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</si>
  <si>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</si>
  <si>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</si>
  <si>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</si>
  <si>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</si>
  <si>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</si>
  <si>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</si>
  <si>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</si>
  <si>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</si>
  <si>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</si>
  <si>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</si>
  <si>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</si>
  <si>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</si>
  <si>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</si>
  <si>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</si>
  <si>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</si>
  <si>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</si>
  <si>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</si>
  <si>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</si>
  <si>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</si>
  <si>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</si>
  <si>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</si>
  <si>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</si>
  <si>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</si>
  <si>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</si>
  <si>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</si>
  <si>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</si>
  <si>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</si>
  <si>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</si>
  <si>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</si>
  <si>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</si>
  <si>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</si>
  <si>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</si>
  <si>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</si>
  <si>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</si>
  <si>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</si>
  <si>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Sales By Product category </t>
  </si>
  <si>
    <t xml:space="preserve">Top 6 ship cities by revenue </t>
  </si>
  <si>
    <t xml:space="preserve">Top 5 cities By revenue </t>
  </si>
  <si>
    <t xml:space="preserve"> </t>
  </si>
  <si>
    <t>Row Labels</t>
  </si>
  <si>
    <t>Grand Total</t>
  </si>
  <si>
    <t>Sum of Revenue</t>
  </si>
  <si>
    <t>Jan</t>
  </si>
  <si>
    <t>Feb</t>
  </si>
  <si>
    <t>Apr</t>
  </si>
  <si>
    <t>May</t>
  </si>
  <si>
    <t>Jun</t>
  </si>
  <si>
    <t>Aug</t>
  </si>
  <si>
    <t>Oct</t>
  </si>
  <si>
    <t>Nov</t>
  </si>
  <si>
    <t>Dec</t>
  </si>
  <si>
    <t>shipping fee error</t>
  </si>
  <si>
    <t>2000-3000</t>
  </si>
  <si>
    <t>1000-2000</t>
  </si>
  <si>
    <t>0-1000</t>
  </si>
  <si>
    <t>Count of Revenue</t>
  </si>
  <si>
    <t>Performance by state</t>
  </si>
  <si>
    <t xml:space="preserve">State </t>
  </si>
  <si>
    <t>]</t>
  </si>
  <si>
    <t>Mar</t>
  </si>
  <si>
    <t>Jul</t>
  </si>
  <si>
    <t>Sept</t>
  </si>
  <si>
    <t>3000-4000</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</si>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</sst>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mm/dd/yy;@"/>
    <numFmt numFmtId="166" formatCode="&quot;$&quot;#,##0.00"/>
  </numFmts>
  <fonts count="7" x14ac:knownFonts="1">
    <font>
      <sz val="11"/>
      <color theme="1"/>
      <name val="Garamond"/>
      <family val="2"/>
      <scheme val="minor"/>
    </font>
    <font>
      <sz val="11"/>
      <color theme="1"/>
      <name val="Garamond"/>
      <family val="2"/>
      <scheme val="minor"/>
    </font>
    <font>
      <b/>
      <sz val="11"/>
      <color theme="1"/>
      <name val="Garamond"/>
      <family val="2"/>
      <scheme val="minor"/>
    </font>
    <font>
      <u/>
      <sz val="11"/>
      <color theme="10"/>
      <name val="Garamond"/>
      <family val="2"/>
      <scheme val="minor"/>
    </font>
    <font>
      <sz val="12"/>
      <color theme="1"/>
      <name val="Garamond"/>
      <family val="2"/>
      <scheme val="minor"/>
    </font>
    <font>
      <sz val="16"/>
      <color theme="1"/>
      <name val="Garamond"/>
      <family val="2"/>
      <scheme val="minor"/>
    </font>
    <font>
      <b/>
      <sz val="12"/>
      <color theme="0"/>
      <name val="Garamond"/>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17">
    <xf numFmtId="0" fontId="0" fillId="0" borderId="0" xfId="0"/>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2" fillId="2" borderId="0" xfId="0" applyFont="1" applyFill="1" applyAlignment="1">
      <alignment horizontal="left"/>
    </xf>
    <xf numFmtId="0" fontId="0" fillId="0" borderId="0" xfId="0" applyAlignment="1">
      <alignment horizontal="left"/>
    </xf>
    <xf numFmtId="165" fontId="0" fillId="0" borderId="0" xfId="0" applyNumberFormat="1" applyAlignment="1">
      <alignment horizontal="left"/>
    </xf>
    <xf numFmtId="166" fontId="0" fillId="0" borderId="0" xfId="0" applyNumberFormat="1" applyAlignment="1">
      <alignment horizontal="left"/>
    </xf>
    <xf numFmtId="166" fontId="0" fillId="0" borderId="0" xfId="1" applyNumberFormat="1" applyFont="1" applyAlignment="1">
      <alignment horizontal="left"/>
    </xf>
    <xf numFmtId="0" fontId="0" fillId="0" borderId="0" xfId="0" pivotButton="1"/>
    <xf numFmtId="166" fontId="0" fillId="0" borderId="0" xfId="0" applyNumberFormat="1"/>
    <xf numFmtId="164" fontId="0" fillId="0" borderId="0" xfId="0" applyNumberFormat="1"/>
    <xf numFmtId="0" fontId="6" fillId="5" borderId="0" xfId="0" applyFont="1" applyFill="1"/>
    <xf numFmtId="164" fontId="0" fillId="0" borderId="0" xfId="1" applyFont="1"/>
    <xf numFmtId="0" fontId="0" fillId="5" borderId="0" xfId="0" applyFill="1"/>
  </cellXfs>
  <cellStyles count="3">
    <cellStyle name="Currency" xfId="1" builtinId="4"/>
    <cellStyle name="Hyperlink" xfId="2" builtinId="8"/>
    <cellStyle name="Normal" xfId="0" builtinId="0"/>
  </cellStyles>
  <dxfs count="31">
    <dxf>
      <font>
        <b/>
        <i val="0"/>
        <strike val="0"/>
        <condense val="0"/>
        <extend val="0"/>
        <outline val="0"/>
        <shadow val="0"/>
        <u val="none"/>
        <vertAlign val="baseline"/>
        <sz val="11"/>
        <color theme="1"/>
        <name val="Garamond"/>
        <family val="2"/>
        <scheme val="minor"/>
      </font>
      <fill>
        <patternFill patternType="solid">
          <fgColor indexed="64"/>
          <bgColor theme="0" tint="-0.14999847407452621"/>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_(&quot;$&quot;* #,##0.00_);_(&quot;$&quot;* \(#,##0.00\);_(&quot;$&quot;* &quot;-&quot;??_);_(@_)"/>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Flutterco 2025" pivot="0" table="0" count="10" xr9:uid="{D2410B39-0BED-4375-BCA9-11217E48E663}">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Flutterco 202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Rep!PivotTable1</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dLbl>
          <c:idx val="0"/>
          <c:layout>
            <c:manualLayout>
              <c:x val="0.20084737985254977"/>
              <c:y val="7.547197932805567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23912357604783938"/>
                  <c:h val="0.23071428571428568"/>
                </c:manualLayout>
              </c15:layout>
            </c:ext>
          </c:extLst>
        </c:dLbl>
      </c:pivotFmt>
      <c:pivotFmt>
        <c:idx val="2"/>
        <c:spPr>
          <a:solidFill>
            <a:schemeClr val="accent5">
              <a:lumMod val="40000"/>
              <a:lumOff val="60000"/>
            </a:schemeClr>
          </a:solidFill>
          <a:ln>
            <a:noFill/>
          </a:ln>
          <a:effectLst/>
        </c:spPr>
        <c:dLbl>
          <c:idx val="0"/>
          <c:layout>
            <c:manualLayout>
              <c:x val="0.2161532421711686"/>
              <c:y val="-5.660349237005753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24599642828151635"/>
                  <c:h val="0.23071428571428568"/>
                </c:manualLayout>
              </c15:layout>
            </c:ext>
          </c:extLst>
        </c:dLbl>
      </c:pivotFmt>
      <c:pivotFmt>
        <c:idx val="3"/>
        <c:spPr>
          <a:solidFill>
            <a:schemeClr val="accent5">
              <a:lumMod val="50000"/>
            </a:schemeClr>
          </a:solidFill>
          <a:ln>
            <a:noFill/>
          </a:ln>
          <a:effectLst/>
        </c:spPr>
        <c:dLbl>
          <c:idx val="0"/>
          <c:layout>
            <c:manualLayout>
              <c:x val="-0.15041821922409551"/>
              <c:y val="-4.9862416962030767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19101361041210055"/>
                  <c:h val="0.17357142857142854"/>
                </c:manualLayout>
              </c15:layout>
            </c:ext>
          </c:extLst>
        </c:dLbl>
      </c:pivotFmt>
      <c:pivotFmt>
        <c:idx val="4"/>
        <c:spPr>
          <a:solidFill>
            <a:schemeClr val="accent5">
              <a:lumMod val="40000"/>
              <a:lumOff val="6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60000"/>
              <a:lumOff val="40000"/>
            </a:schemeClr>
          </a:solidFill>
          <a:ln>
            <a:noFill/>
          </a:ln>
          <a:effectLst/>
        </c:spPr>
      </c:pivotFmt>
    </c:pivotFmts>
    <c:plotArea>
      <c:layout>
        <c:manualLayout>
          <c:layoutTarget val="inner"/>
          <c:xMode val="edge"/>
          <c:yMode val="edge"/>
          <c:x val="0.20066076791947399"/>
          <c:y val="0.15535714285714286"/>
          <c:w val="0.34536082474226804"/>
          <c:h val="0.71785714285714286"/>
        </c:manualLayout>
      </c:layout>
      <c:doughnutChart>
        <c:varyColors val="1"/>
        <c:ser>
          <c:idx val="0"/>
          <c:order val="0"/>
          <c:tx>
            <c:strRef>
              <c:f>'Sales by Rep'!$B$3</c:f>
              <c:strCache>
                <c:ptCount val="1"/>
                <c:pt idx="0">
                  <c:v>Total</c:v>
                </c:pt>
              </c:strCache>
            </c:strRef>
          </c:tx>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8-9ED7-4152-9C38-F746ED0A5BBF}"/>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9-9ED7-4152-9C38-F746ED0A5BBF}"/>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7-9ED7-4152-9C38-F746ED0A5BBF}"/>
              </c:ext>
            </c:extLst>
          </c:dPt>
          <c:dPt>
            <c:idx val="3"/>
            <c:bubble3D val="0"/>
            <c:spPr>
              <a:solidFill>
                <a:schemeClr val="accent5">
                  <a:lumMod val="60000"/>
                  <a:lumOff val="40000"/>
                </a:schemeClr>
              </a:solidFill>
              <a:ln>
                <a:noFill/>
              </a:ln>
              <a:effectLst/>
            </c:spPr>
            <c:extLst>
              <c:ext xmlns:c16="http://schemas.microsoft.com/office/drawing/2014/chart" uri="{C3380CC4-5D6E-409C-BE32-E72D297353CC}">
                <c16:uniqueId val="{00000006-9ED7-4152-9C38-F746ED0A5BBF}"/>
              </c:ext>
            </c:extLst>
          </c:dPt>
          <c:dPt>
            <c:idx val="4"/>
            <c:bubble3D val="0"/>
            <c:spPr>
              <a:solidFill>
                <a:schemeClr val="accent5">
                  <a:lumMod val="40000"/>
                  <a:lumOff val="60000"/>
                </a:schemeClr>
              </a:solidFill>
              <a:ln>
                <a:noFill/>
              </a:ln>
              <a:effectLst/>
            </c:spPr>
            <c:extLst>
              <c:ext xmlns:c16="http://schemas.microsoft.com/office/drawing/2014/chart" uri="{C3380CC4-5D6E-409C-BE32-E72D297353CC}">
                <c16:uniqueId val="{00000005-9ED7-4152-9C38-F746ED0A5BBF}"/>
              </c:ext>
            </c:extLst>
          </c:dPt>
          <c:dPt>
            <c:idx val="5"/>
            <c:bubble3D val="0"/>
            <c:spPr>
              <a:solidFill>
                <a:schemeClr val="accent5">
                  <a:lumMod val="40000"/>
                  <a:lumOff val="60000"/>
                </a:schemeClr>
              </a:solidFill>
              <a:ln>
                <a:noFill/>
              </a:ln>
              <a:effectLst/>
            </c:spPr>
            <c:extLst>
              <c:ext xmlns:c16="http://schemas.microsoft.com/office/drawing/2014/chart" uri="{C3380CC4-5D6E-409C-BE32-E72D297353CC}">
                <c16:uniqueId val="{00000003-9ED7-4152-9C38-F746ED0A5BBF}"/>
              </c:ext>
            </c:extLst>
          </c:dPt>
          <c:dPt>
            <c:idx val="6"/>
            <c:bubble3D val="0"/>
            <c:spPr>
              <a:solidFill>
                <a:schemeClr val="accent5">
                  <a:lumMod val="60000"/>
                  <a:lumOff val="40000"/>
                </a:schemeClr>
              </a:solidFill>
              <a:ln>
                <a:noFill/>
              </a:ln>
              <a:effectLst/>
            </c:spPr>
            <c:extLst>
              <c:ext xmlns:c16="http://schemas.microsoft.com/office/drawing/2014/chart" uri="{C3380CC4-5D6E-409C-BE32-E72D297353CC}">
                <c16:uniqueId val="{00000002-9ED7-4152-9C38-F746ED0A5BBF}"/>
              </c:ext>
            </c:extLst>
          </c:dPt>
          <c:dPt>
            <c:idx val="7"/>
            <c:bubble3D val="0"/>
            <c:spPr>
              <a:solidFill>
                <a:schemeClr val="accent5">
                  <a:lumMod val="50000"/>
                </a:schemeClr>
              </a:solidFill>
              <a:ln>
                <a:noFill/>
              </a:ln>
              <a:effectLst/>
            </c:spPr>
            <c:extLst>
              <c:ext xmlns:c16="http://schemas.microsoft.com/office/drawing/2014/chart" uri="{C3380CC4-5D6E-409C-BE32-E72D297353CC}">
                <c16:uniqueId val="{00000004-9ED7-4152-9C38-F746ED0A5BBF}"/>
              </c:ext>
            </c:extLst>
          </c:dPt>
          <c:dLbls>
            <c:dLbl>
              <c:idx val="5"/>
              <c:layout>
                <c:manualLayout>
                  <c:x val="0.2161532421711686"/>
                  <c:y val="-5.6603492370057532E-2"/>
                </c:manualLayout>
              </c:layout>
              <c:showLegendKey val="0"/>
              <c:showVal val="1"/>
              <c:showCatName val="0"/>
              <c:showSerName val="0"/>
              <c:showPercent val="0"/>
              <c:showBubbleSize val="0"/>
              <c:extLst>
                <c:ext xmlns:c15="http://schemas.microsoft.com/office/drawing/2012/chart" uri="{CE6537A1-D6FC-4f65-9D91-7224C49458BB}">
                  <c15:layout>
                    <c:manualLayout>
                      <c:w val="0.24599642828151635"/>
                      <c:h val="0.23071428571428568"/>
                    </c:manualLayout>
                  </c15:layout>
                </c:ext>
                <c:ext xmlns:c16="http://schemas.microsoft.com/office/drawing/2014/chart" uri="{C3380CC4-5D6E-409C-BE32-E72D297353CC}">
                  <c16:uniqueId val="{00000003-9ED7-4152-9C38-F746ED0A5BBF}"/>
                </c:ext>
              </c:extLst>
            </c:dLbl>
            <c:dLbl>
              <c:idx val="6"/>
              <c:layout>
                <c:manualLayout>
                  <c:x val="0.20084737985254977"/>
                  <c:y val="7.5471979328055674E-2"/>
                </c:manualLayout>
              </c:layout>
              <c:showLegendKey val="0"/>
              <c:showVal val="1"/>
              <c:showCatName val="0"/>
              <c:showSerName val="0"/>
              <c:showPercent val="0"/>
              <c:showBubbleSize val="0"/>
              <c:extLst>
                <c:ext xmlns:c15="http://schemas.microsoft.com/office/drawing/2012/chart" uri="{CE6537A1-D6FC-4f65-9D91-7224C49458BB}">
                  <c15:layout>
                    <c:manualLayout>
                      <c:w val="0.23912357604783938"/>
                      <c:h val="0.23071428571428568"/>
                    </c:manualLayout>
                  </c15:layout>
                </c:ext>
                <c:ext xmlns:c16="http://schemas.microsoft.com/office/drawing/2014/chart" uri="{C3380CC4-5D6E-409C-BE32-E72D297353CC}">
                  <c16:uniqueId val="{00000002-9ED7-4152-9C38-F746ED0A5BBF}"/>
                </c:ext>
              </c:extLst>
            </c:dLbl>
            <c:dLbl>
              <c:idx val="7"/>
              <c:layout>
                <c:manualLayout>
                  <c:x val="-0.15041821922409551"/>
                  <c:y val="-4.9862416962030767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19101361041210055"/>
                      <c:h val="0.17357142857142854"/>
                    </c:manualLayout>
                  </c15:layout>
                </c:ext>
                <c:ext xmlns:c16="http://schemas.microsoft.com/office/drawing/2014/chart" uri="{C3380CC4-5D6E-409C-BE32-E72D297353CC}">
                  <c16:uniqueId val="{00000004-9ED7-4152-9C38-F746ED0A5BB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00-9ED7-4152-9C38-F746ED0A5BBF}"/>
            </c:ext>
          </c:extLst>
        </c:ser>
        <c:dLbls>
          <c:showLegendKey val="0"/>
          <c:showVal val="1"/>
          <c:showCatName val="0"/>
          <c:showSerName val="0"/>
          <c:showPercent val="0"/>
          <c:showBubbleSize val="0"/>
          <c:showLeaderLines val="1"/>
        </c:dLbls>
        <c:firstSliceAng val="0"/>
        <c:holeSize val="50"/>
      </c:doughnutChart>
      <c:spPr>
        <a:noFill/>
        <a:ln w="0" cap="rnd" cmpd="sng">
          <a:solidFill>
            <a:schemeClr val="bg1"/>
          </a:solidFill>
        </a:ln>
        <a:effectLst>
          <a:softEdge rad="279400"/>
        </a:effectLst>
      </c:spPr>
    </c:plotArea>
    <c:legend>
      <c:legendPos val="r"/>
      <c:layout>
        <c:manualLayout>
          <c:xMode val="edge"/>
          <c:yMode val="edge"/>
          <c:x val="0.63671699542711802"/>
          <c:y val="0.42317604049493812"/>
          <c:w val="0.34266444787185107"/>
          <c:h val="0.317933070866141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solidFill>
            <a:schemeClr val="accent5">
              <a:lumMod val="75000"/>
            </a:schemeClr>
          </a:solidFill>
          <a:ln w="19050">
            <a:solidFill>
              <a:schemeClr val="lt1"/>
            </a:solidFill>
          </a:ln>
          <a:effectLst/>
        </c:spPr>
      </c:pivotFmt>
    </c:pivotFmts>
    <c:plotArea>
      <c:layout/>
      <c:radarChart>
        <c:radarStyle val="marker"/>
        <c:varyColors val="0"/>
        <c:ser>
          <c:idx val="0"/>
          <c:order val="0"/>
          <c:tx>
            <c:strRef>
              <c:f>'Sales by Region'!$B$3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66FD-466B-9427-18B09C67F0A0}"/>
              </c:ext>
            </c:extLst>
          </c:dPt>
          <c:dPt>
            <c:idx val="1"/>
            <c:marker>
              <c:symbol val="none"/>
            </c:marker>
            <c:bubble3D val="0"/>
            <c:extLst>
              <c:ext xmlns:c16="http://schemas.microsoft.com/office/drawing/2014/chart" uri="{C3380CC4-5D6E-409C-BE32-E72D297353CC}">
                <c16:uniqueId val="{00000003-538A-423C-9A47-3DF586D5D499}"/>
              </c:ext>
            </c:extLst>
          </c:dPt>
          <c:dPt>
            <c:idx val="2"/>
            <c:marker>
              <c:symbol val="none"/>
            </c:marker>
            <c:bubble3D val="0"/>
            <c:extLst>
              <c:ext xmlns:c16="http://schemas.microsoft.com/office/drawing/2014/chart" uri="{C3380CC4-5D6E-409C-BE32-E72D297353CC}">
                <c16:uniqueId val="{00000004-66FD-466B-9427-18B09C67F0A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66FD-466B-9427-18B09C67F0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0-66FD-466B-9427-18B09C67F0A0}"/>
            </c:ext>
          </c:extLst>
        </c:ser>
        <c:dLbls>
          <c:showLegendKey val="0"/>
          <c:showVal val="0"/>
          <c:showCatName val="0"/>
          <c:showSerName val="0"/>
          <c:showPercent val="0"/>
          <c:showBubbleSize val="0"/>
        </c:dLbls>
        <c:axId val="348212944"/>
        <c:axId val="348235984"/>
      </c:radarChart>
      <c:catAx>
        <c:axId val="34821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348235984"/>
        <c:crosses val="autoZero"/>
        <c:auto val="1"/>
        <c:lblAlgn val="ctr"/>
        <c:lblOffset val="100"/>
        <c:noMultiLvlLbl val="0"/>
      </c:catAx>
      <c:valAx>
        <c:axId val="34823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34821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ten customers!PivotTable3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customers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s>
    <c:plotArea>
      <c:layout>
        <c:manualLayout>
          <c:layoutTarget val="inner"/>
          <c:xMode val="edge"/>
          <c:yMode val="edge"/>
          <c:x val="0.16643293109071425"/>
          <c:y val="0.23290423861852436"/>
          <c:w val="0.78622979080277688"/>
          <c:h val="0.69802197802197807"/>
        </c:manualLayout>
      </c:layout>
      <c:barChart>
        <c:barDir val="bar"/>
        <c:grouping val="clustered"/>
        <c:varyColors val="0"/>
        <c:ser>
          <c:idx val="0"/>
          <c:order val="0"/>
          <c:tx>
            <c:strRef>
              <c:f>'top ten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0828-4D53-ABC8-48E7751624BC}"/>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0828-4D53-ABC8-48E7751624BC}"/>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0828-4D53-ABC8-48E7751624BC}"/>
              </c:ext>
            </c:extLst>
          </c:dPt>
          <c:dPt>
            <c:idx val="3"/>
            <c:invertIfNegative val="0"/>
            <c:bubble3D val="0"/>
            <c:extLst>
              <c:ext xmlns:c16="http://schemas.microsoft.com/office/drawing/2014/chart" uri="{C3380CC4-5D6E-409C-BE32-E72D297353CC}">
                <c16:uniqueId val="{00000005-0828-4D53-ABC8-48E7751624BC}"/>
              </c:ext>
            </c:extLst>
          </c:dPt>
          <c:dPt>
            <c:idx val="4"/>
            <c:invertIfNegative val="0"/>
            <c:bubble3D val="0"/>
            <c:extLst>
              <c:ext xmlns:c16="http://schemas.microsoft.com/office/drawing/2014/chart" uri="{C3380CC4-5D6E-409C-BE32-E72D297353CC}">
                <c16:uniqueId val="{00000006-0828-4D53-ABC8-48E7751624BC}"/>
              </c:ext>
            </c:extLst>
          </c:dPt>
          <c:dPt>
            <c:idx val="5"/>
            <c:invertIfNegative val="0"/>
            <c:bubble3D val="0"/>
            <c:extLst>
              <c:ext xmlns:c16="http://schemas.microsoft.com/office/drawing/2014/chart" uri="{C3380CC4-5D6E-409C-BE32-E72D297353CC}">
                <c16:uniqueId val="{00000007-0828-4D53-ABC8-48E7751624BC}"/>
              </c:ext>
            </c:extLst>
          </c:dPt>
          <c:dPt>
            <c:idx val="6"/>
            <c:invertIfNegative val="0"/>
            <c:bubble3D val="0"/>
            <c:extLst>
              <c:ext xmlns:c16="http://schemas.microsoft.com/office/drawing/2014/chart" uri="{C3380CC4-5D6E-409C-BE32-E72D297353CC}">
                <c16:uniqueId val="{00000008-0828-4D53-ABC8-48E7751624BC}"/>
              </c:ext>
            </c:extLst>
          </c:dPt>
          <c:dPt>
            <c:idx val="7"/>
            <c:invertIfNegative val="0"/>
            <c:bubble3D val="0"/>
            <c:extLst>
              <c:ext xmlns:c16="http://schemas.microsoft.com/office/drawing/2014/chart" uri="{C3380CC4-5D6E-409C-BE32-E72D297353CC}">
                <c16:uniqueId val="{00000009-0828-4D53-ABC8-48E7751624BC}"/>
              </c:ext>
            </c:extLst>
          </c:dPt>
          <c:dPt>
            <c:idx val="8"/>
            <c:invertIfNegative val="0"/>
            <c:bubble3D val="0"/>
            <c:extLst>
              <c:ext xmlns:c16="http://schemas.microsoft.com/office/drawing/2014/chart" uri="{C3380CC4-5D6E-409C-BE32-E72D297353CC}">
                <c16:uniqueId val="{0000000A-0828-4D53-ABC8-48E7751624BC}"/>
              </c:ext>
            </c:extLst>
          </c:dPt>
          <c:dPt>
            <c:idx val="9"/>
            <c:invertIfNegative val="0"/>
            <c:bubble3D val="0"/>
            <c:extLst>
              <c:ext xmlns:c16="http://schemas.microsoft.com/office/drawing/2014/chart" uri="{C3380CC4-5D6E-409C-BE32-E72D297353CC}">
                <c16:uniqueId val="{0000000B-0828-4D53-ABC8-48E7751624BC}"/>
              </c:ext>
            </c:extLst>
          </c:dPt>
          <c:cat>
            <c:strRef>
              <c:f>'top ten customers'!$A$4:$A$7</c:f>
              <c:strCache>
                <c:ptCount val="3"/>
                <c:pt idx="0">
                  <c:v>Company D</c:v>
                </c:pt>
                <c:pt idx="1">
                  <c:v>Company H</c:v>
                </c:pt>
                <c:pt idx="2">
                  <c:v>Company BB</c:v>
                </c:pt>
              </c:strCache>
            </c:strRef>
          </c:cat>
          <c:val>
            <c:numRef>
              <c:f>'top ten customers'!$B$4:$B$7</c:f>
              <c:numCache>
                <c:formatCode>"$"#,##0.00</c:formatCode>
                <c:ptCount val="3"/>
                <c:pt idx="0">
                  <c:v>67180.5</c:v>
                </c:pt>
                <c:pt idx="1">
                  <c:v>50208.35</c:v>
                </c:pt>
                <c:pt idx="2">
                  <c:v>43713</c:v>
                </c:pt>
              </c:numCache>
            </c:numRef>
          </c:val>
          <c:extLst>
            <c:ext xmlns:c16="http://schemas.microsoft.com/office/drawing/2014/chart" uri="{C3380CC4-5D6E-409C-BE32-E72D297353CC}">
              <c16:uniqueId val="{00000000-0828-4D53-ABC8-48E7751624BC}"/>
            </c:ext>
          </c:extLst>
        </c:ser>
        <c:dLbls>
          <c:showLegendKey val="0"/>
          <c:showVal val="0"/>
          <c:showCatName val="0"/>
          <c:showSerName val="0"/>
          <c:showPercent val="0"/>
          <c:showBubbleSize val="0"/>
        </c:dLbls>
        <c:gapWidth val="30"/>
        <c:axId val="610878112"/>
        <c:axId val="610873312"/>
      </c:barChart>
      <c:catAx>
        <c:axId val="61087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610873312"/>
        <c:crosses val="autoZero"/>
        <c:auto val="1"/>
        <c:lblAlgn val="ctr"/>
        <c:lblOffset val="100"/>
        <c:noMultiLvlLbl val="0"/>
      </c:catAx>
      <c:valAx>
        <c:axId val="610873312"/>
        <c:scaling>
          <c:orientation val="minMax"/>
        </c:scaling>
        <c:delete val="1"/>
        <c:axPos val="b"/>
        <c:numFmt formatCode="&quot;$&quot;#,##0.00" sourceLinked="1"/>
        <c:majorTickMark val="none"/>
        <c:minorTickMark val="none"/>
        <c:tickLblPos val="nextTo"/>
        <c:crossAx val="61087811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ten customers!PivotTable3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customers by revenue</a:t>
            </a:r>
            <a:endParaRPr lang="en-US"/>
          </a:p>
        </c:rich>
      </c:tx>
      <c:layout>
        <c:manualLayout>
          <c:xMode val="edge"/>
          <c:yMode val="edge"/>
          <c:x val="0.10551018031030146"/>
          <c:y val="7.5353218210361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50000"/>
            </a:schemeClr>
          </a:solidFill>
          <a:ln>
            <a:noFill/>
          </a:ln>
          <a:effectLst/>
        </c:spPr>
      </c:pivotFmt>
      <c:pivotFmt>
        <c:idx val="17"/>
        <c:spPr>
          <a:solidFill>
            <a:schemeClr val="accent5">
              <a:lumMod val="75000"/>
            </a:schemeClr>
          </a:solidFill>
          <a:ln>
            <a:noFill/>
          </a:ln>
          <a:effectLst/>
        </c:spPr>
      </c:pivotFmt>
      <c:pivotFmt>
        <c:idx val="1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0946745562130178"/>
              <c:y val="-8.791208791208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dLbl>
          <c:idx val="0"/>
          <c:layout>
            <c:manualLayout>
              <c:x val="-0.12426035502958582"/>
              <c:y val="5.6514913657770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a:noFill/>
          </a:ln>
          <a:effectLst/>
        </c:spPr>
        <c:dLbl>
          <c:idx val="0"/>
          <c:layout>
            <c:manualLayout>
              <c:x val="-0.1242603550295858"/>
              <c:y val="-3.767660910518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50000"/>
            </a:schemeClr>
          </a:solidFill>
          <a:ln>
            <a:noFill/>
          </a:ln>
          <a:effectLst/>
        </c:spPr>
        <c:dLbl>
          <c:idx val="0"/>
          <c:layout>
            <c:manualLayout>
              <c:x val="0.10946745562130178"/>
              <c:y val="-8.791208791208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dLbl>
          <c:idx val="0"/>
          <c:layout>
            <c:manualLayout>
              <c:x val="-0.12426035502958582"/>
              <c:y val="5.6514913657770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60000"/>
              <a:lumOff val="40000"/>
            </a:schemeClr>
          </a:solidFill>
          <a:ln>
            <a:noFill/>
          </a:ln>
          <a:effectLst/>
        </c:spPr>
        <c:dLbl>
          <c:idx val="0"/>
          <c:layout>
            <c:manualLayout>
              <c:x val="-0.1242603550295858"/>
              <c:y val="-3.767660910518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ten customers'!$B$3</c:f>
              <c:strCache>
                <c:ptCount val="1"/>
                <c:pt idx="0">
                  <c:v>Total</c:v>
                </c:pt>
              </c:strCache>
            </c:strRef>
          </c:tx>
          <c:spPr>
            <a:solidFill>
              <a:schemeClr val="accent5">
                <a:lumMod val="75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4543-46A9-9AE1-333FC33F0DCE}"/>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4543-46A9-9AE1-333FC33F0DCE}"/>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4543-46A9-9AE1-333FC33F0DCE}"/>
              </c:ext>
            </c:extLst>
          </c:dPt>
          <c:dPt>
            <c:idx val="3"/>
            <c:bubble3D val="0"/>
            <c:spPr>
              <a:solidFill>
                <a:schemeClr val="accent5">
                  <a:lumMod val="75000"/>
                </a:schemeClr>
              </a:solidFill>
              <a:ln>
                <a:noFill/>
              </a:ln>
              <a:effectLst/>
            </c:spPr>
            <c:extLst>
              <c:ext xmlns:c16="http://schemas.microsoft.com/office/drawing/2014/chart" uri="{C3380CC4-5D6E-409C-BE32-E72D297353CC}">
                <c16:uniqueId val="{00000006-4543-46A9-9AE1-333FC33F0DCE}"/>
              </c:ext>
            </c:extLst>
          </c:dPt>
          <c:dPt>
            <c:idx val="4"/>
            <c:bubble3D val="0"/>
            <c:spPr>
              <a:solidFill>
                <a:schemeClr val="accent5">
                  <a:lumMod val="75000"/>
                </a:schemeClr>
              </a:solidFill>
              <a:ln>
                <a:noFill/>
              </a:ln>
              <a:effectLst/>
            </c:spPr>
            <c:extLst>
              <c:ext xmlns:c16="http://schemas.microsoft.com/office/drawing/2014/chart" uri="{C3380CC4-5D6E-409C-BE32-E72D297353CC}">
                <c16:uniqueId val="{00000007-4543-46A9-9AE1-333FC33F0DCE}"/>
              </c:ext>
            </c:extLst>
          </c:dPt>
          <c:dPt>
            <c:idx val="5"/>
            <c:bubble3D val="0"/>
            <c:spPr>
              <a:solidFill>
                <a:schemeClr val="accent5">
                  <a:lumMod val="75000"/>
                </a:schemeClr>
              </a:solidFill>
              <a:ln>
                <a:noFill/>
              </a:ln>
              <a:effectLst/>
            </c:spPr>
            <c:extLst>
              <c:ext xmlns:c16="http://schemas.microsoft.com/office/drawing/2014/chart" uri="{C3380CC4-5D6E-409C-BE32-E72D297353CC}">
                <c16:uniqueId val="{00000008-4543-46A9-9AE1-333FC33F0DCE}"/>
              </c:ext>
            </c:extLst>
          </c:dPt>
          <c:dPt>
            <c:idx val="6"/>
            <c:bubble3D val="0"/>
            <c:spPr>
              <a:solidFill>
                <a:schemeClr val="accent5">
                  <a:lumMod val="75000"/>
                </a:schemeClr>
              </a:solidFill>
              <a:ln>
                <a:noFill/>
              </a:ln>
              <a:effectLst/>
            </c:spPr>
            <c:extLst>
              <c:ext xmlns:c16="http://schemas.microsoft.com/office/drawing/2014/chart" uri="{C3380CC4-5D6E-409C-BE32-E72D297353CC}">
                <c16:uniqueId val="{00000009-4543-46A9-9AE1-333FC33F0DCE}"/>
              </c:ext>
            </c:extLst>
          </c:dPt>
          <c:dPt>
            <c:idx val="7"/>
            <c:bubble3D val="0"/>
            <c:spPr>
              <a:solidFill>
                <a:schemeClr val="accent5">
                  <a:lumMod val="75000"/>
                </a:schemeClr>
              </a:solidFill>
              <a:ln>
                <a:noFill/>
              </a:ln>
              <a:effectLst/>
            </c:spPr>
            <c:extLst>
              <c:ext xmlns:c16="http://schemas.microsoft.com/office/drawing/2014/chart" uri="{C3380CC4-5D6E-409C-BE32-E72D297353CC}">
                <c16:uniqueId val="{0000000A-4543-46A9-9AE1-333FC33F0DCE}"/>
              </c:ext>
            </c:extLst>
          </c:dPt>
          <c:dPt>
            <c:idx val="8"/>
            <c:bubble3D val="0"/>
            <c:spPr>
              <a:solidFill>
                <a:schemeClr val="accent5">
                  <a:lumMod val="75000"/>
                </a:schemeClr>
              </a:solidFill>
              <a:ln>
                <a:noFill/>
              </a:ln>
              <a:effectLst/>
            </c:spPr>
            <c:extLst>
              <c:ext xmlns:c16="http://schemas.microsoft.com/office/drawing/2014/chart" uri="{C3380CC4-5D6E-409C-BE32-E72D297353CC}">
                <c16:uniqueId val="{0000000B-4543-46A9-9AE1-333FC33F0DCE}"/>
              </c:ext>
            </c:extLst>
          </c:dPt>
          <c:dPt>
            <c:idx val="9"/>
            <c:bubble3D val="0"/>
            <c:spPr>
              <a:solidFill>
                <a:schemeClr val="accent5">
                  <a:lumMod val="75000"/>
                </a:schemeClr>
              </a:solidFill>
              <a:ln>
                <a:noFill/>
              </a:ln>
              <a:effectLst/>
            </c:spPr>
            <c:extLst>
              <c:ext xmlns:c16="http://schemas.microsoft.com/office/drawing/2014/chart" uri="{C3380CC4-5D6E-409C-BE32-E72D297353CC}">
                <c16:uniqueId val="{0000000C-4543-46A9-9AE1-333FC33F0DCE}"/>
              </c:ext>
            </c:extLst>
          </c:dPt>
          <c:dLbls>
            <c:dLbl>
              <c:idx val="0"/>
              <c:layout>
                <c:manualLayout>
                  <c:x val="0.10946745562130178"/>
                  <c:y val="-8.7912087912087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43-46A9-9AE1-333FC33F0DCE}"/>
                </c:ext>
              </c:extLst>
            </c:dLbl>
            <c:dLbl>
              <c:idx val="1"/>
              <c:layout>
                <c:manualLayout>
                  <c:x val="-0.12426035502958582"/>
                  <c:y val="5.6514913657770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43-46A9-9AE1-333FC33F0DCE}"/>
                </c:ext>
              </c:extLst>
            </c:dLbl>
            <c:dLbl>
              <c:idx val="2"/>
              <c:layout>
                <c:manualLayout>
                  <c:x val="-0.1242603550295858"/>
                  <c:y val="-3.7676609105180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43-46A9-9AE1-333FC33F0D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ten customers'!$A$4:$A$7</c:f>
              <c:strCache>
                <c:ptCount val="3"/>
                <c:pt idx="0">
                  <c:v>Company D</c:v>
                </c:pt>
                <c:pt idx="1">
                  <c:v>Company H</c:v>
                </c:pt>
                <c:pt idx="2">
                  <c:v>Company BB</c:v>
                </c:pt>
              </c:strCache>
            </c:strRef>
          </c:cat>
          <c:val>
            <c:numRef>
              <c:f>'top ten customers'!$B$4:$B$7</c:f>
              <c:numCache>
                <c:formatCode>"$"#,##0.00</c:formatCode>
                <c:ptCount val="3"/>
                <c:pt idx="0">
                  <c:v>67180.5</c:v>
                </c:pt>
                <c:pt idx="1">
                  <c:v>50208.35</c:v>
                </c:pt>
                <c:pt idx="2">
                  <c:v>43713</c:v>
                </c:pt>
              </c:numCache>
            </c:numRef>
          </c:val>
          <c:extLst>
            <c:ext xmlns:c16="http://schemas.microsoft.com/office/drawing/2014/chart" uri="{C3380CC4-5D6E-409C-BE32-E72D297353CC}">
              <c16:uniqueId val="{0000000D-4543-46A9-9AE1-333FC33F0DCE}"/>
            </c:ext>
          </c:extLst>
        </c:ser>
        <c:dLbls>
          <c:showLegendKey val="0"/>
          <c:showVal val="0"/>
          <c:showCatName val="0"/>
          <c:showSerName val="0"/>
          <c:showPercent val="0"/>
          <c:showBubbleSize val="0"/>
          <c:showLeaderLines val="1"/>
        </c:dLbls>
        <c:firstSliceAng val="0"/>
        <c:holeSize val="50"/>
      </c:doughnutChar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F"/>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F"/>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8D97-4E2A-8F35-C4B7AFC7936D}"/>
            </c:ext>
          </c:extLst>
        </c:ser>
        <c:dLbls>
          <c:dLblPos val="t"/>
          <c:showLegendKey val="0"/>
          <c:showVal val="1"/>
          <c:showCatName val="0"/>
          <c:showSerName val="0"/>
          <c:showPercent val="0"/>
          <c:showBubbleSize val="0"/>
        </c:dLbls>
        <c:smooth val="0"/>
        <c:axId val="379472160"/>
        <c:axId val="379475520"/>
      </c:lineChart>
      <c:catAx>
        <c:axId val="379472160"/>
        <c:scaling>
          <c:orientation val="minMax"/>
        </c:scaling>
        <c:delete val="1"/>
        <c:axPos val="b"/>
        <c:numFmt formatCode="General" sourceLinked="1"/>
        <c:majorTickMark val="none"/>
        <c:minorTickMark val="none"/>
        <c:tickLblPos val="nextTo"/>
        <c:crossAx val="379475520"/>
        <c:crosses val="autoZero"/>
        <c:auto val="1"/>
        <c:lblAlgn val="ctr"/>
        <c:lblOffset val="100"/>
        <c:noMultiLvlLbl val="0"/>
      </c:catAx>
      <c:valAx>
        <c:axId val="379475520"/>
        <c:scaling>
          <c:orientation val="minMax"/>
        </c:scaling>
        <c:delete val="1"/>
        <c:axPos val="l"/>
        <c:numFmt formatCode="&quot;$&quot;#,##0.00" sourceLinked="1"/>
        <c:majorTickMark val="none"/>
        <c:minorTickMark val="none"/>
        <c:tickLblPos val="nextTo"/>
        <c:crossAx val="37947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product!PivotTable1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17474752096264348"/>
              <c:y val="-0.28805596334356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30147702819062749"/>
                  <c:h val="0.20394736842105263"/>
                </c:manualLayout>
              </c15:layout>
            </c:ext>
          </c:extLst>
        </c:dLbl>
      </c:pivotFmt>
      <c:pivotFmt>
        <c:idx val="2"/>
        <c:spPr>
          <a:solidFill>
            <a:schemeClr val="accent5">
              <a:lumMod val="75000"/>
            </a:schemeClr>
          </a:solidFill>
          <a:ln>
            <a:noFill/>
          </a:ln>
          <a:effectLst/>
        </c:spPr>
        <c:dLbl>
          <c:idx val="0"/>
          <c:layout>
            <c:manualLayout>
              <c:x val="-0.11767678240274948"/>
              <c:y val="8.4507042253521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24051573768700088"/>
                  <c:h val="0.20394736842105263"/>
                </c:manualLayout>
              </c15:layout>
            </c:ext>
          </c:extLst>
        </c:dLbl>
      </c:pivotFmt>
      <c:pivotFmt>
        <c:idx val="3"/>
        <c:spPr>
          <a:solidFill>
            <a:schemeClr val="accent5">
              <a:lumMod val="60000"/>
              <a:lumOff val="40000"/>
            </a:schemeClr>
          </a:solidFill>
          <a:ln>
            <a:noFill/>
          </a:ln>
          <a:effectLst/>
        </c:spPr>
        <c:dLbl>
          <c:idx val="0"/>
          <c:layout>
            <c:manualLayout>
              <c:x val="-0.1632718563319856"/>
              <c:y val="-2.8169014084507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15:layout>
                <c:manualLayout>
                  <c:w val="0.21237975745455781"/>
                  <c:h val="0.20394736842105263"/>
                </c:manualLayout>
              </c15:layout>
            </c:ext>
          </c:extLst>
        </c:dLbl>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s>
    <c:plotArea>
      <c:layout>
        <c:manualLayout>
          <c:layoutTarget val="inner"/>
          <c:xMode val="edge"/>
          <c:yMode val="edge"/>
          <c:x val="0.22551505090323143"/>
          <c:y val="0.15021895289404616"/>
          <c:w val="0.36459577975066054"/>
          <c:h val="0.68201823456278488"/>
        </c:manualLayout>
      </c:layout>
      <c:doughnutChart>
        <c:varyColors val="1"/>
        <c:ser>
          <c:idx val="0"/>
          <c:order val="0"/>
          <c:tx>
            <c:strRef>
              <c:f>'Sales by product'!$B$3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2-96BC-4210-B0FB-020D7BBD9FFA}"/>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96BC-4210-B0FB-020D7BBD9FFA}"/>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4-96BC-4210-B0FB-020D7BBD9FFA}"/>
              </c:ext>
            </c:extLst>
          </c:dPt>
          <c:dPt>
            <c:idx val="3"/>
            <c:bubble3D val="0"/>
            <c:spPr>
              <a:solidFill>
                <a:schemeClr val="accent4"/>
              </a:solidFill>
              <a:ln>
                <a:noFill/>
              </a:ln>
              <a:effectLst/>
            </c:spPr>
            <c:extLst>
              <c:ext xmlns:c16="http://schemas.microsoft.com/office/drawing/2014/chart" uri="{C3380CC4-5D6E-409C-BE32-E72D297353CC}">
                <c16:uniqueId val="{00000005-96BC-4210-B0FB-020D7BBD9FFA}"/>
              </c:ext>
            </c:extLst>
          </c:dPt>
          <c:dPt>
            <c:idx val="4"/>
            <c:bubble3D val="0"/>
            <c:spPr>
              <a:solidFill>
                <a:schemeClr val="accent5"/>
              </a:solidFill>
              <a:ln>
                <a:noFill/>
              </a:ln>
              <a:effectLst/>
            </c:spPr>
            <c:extLst>
              <c:ext xmlns:c16="http://schemas.microsoft.com/office/drawing/2014/chart" uri="{C3380CC4-5D6E-409C-BE32-E72D297353CC}">
                <c16:uniqueId val="{00000006-96BC-4210-B0FB-020D7BBD9FFA}"/>
              </c:ext>
            </c:extLst>
          </c:dPt>
          <c:dPt>
            <c:idx val="5"/>
            <c:bubble3D val="0"/>
            <c:spPr>
              <a:solidFill>
                <a:schemeClr val="accent6"/>
              </a:solidFill>
              <a:ln>
                <a:noFill/>
              </a:ln>
              <a:effectLst/>
            </c:spPr>
            <c:extLst>
              <c:ext xmlns:c16="http://schemas.microsoft.com/office/drawing/2014/chart" uri="{C3380CC4-5D6E-409C-BE32-E72D297353CC}">
                <c16:uniqueId val="{00000007-11A8-40CA-A66D-589A395D2DA4}"/>
              </c:ext>
            </c:extLst>
          </c:dPt>
          <c:dLbls>
            <c:dLbl>
              <c:idx val="0"/>
              <c:layout>
                <c:manualLayout>
                  <c:x val="0.17474752096264348"/>
                  <c:y val="-0.28805596334356509"/>
                </c:manualLayout>
              </c:layout>
              <c:showLegendKey val="0"/>
              <c:showVal val="1"/>
              <c:showCatName val="0"/>
              <c:showSerName val="0"/>
              <c:showPercent val="0"/>
              <c:showBubbleSize val="0"/>
              <c:extLst>
                <c:ext xmlns:c15="http://schemas.microsoft.com/office/drawing/2012/chart" uri="{CE6537A1-D6FC-4f65-9D91-7224C49458BB}">
                  <c15:layout>
                    <c:manualLayout>
                      <c:w val="0.30147702819062749"/>
                      <c:h val="0.20394736842105263"/>
                    </c:manualLayout>
                  </c15:layout>
                </c:ext>
                <c:ext xmlns:c16="http://schemas.microsoft.com/office/drawing/2014/chart" uri="{C3380CC4-5D6E-409C-BE32-E72D297353CC}">
                  <c16:uniqueId val="{00000002-96BC-4210-B0FB-020D7BBD9FFA}"/>
                </c:ext>
              </c:extLst>
            </c:dLbl>
            <c:dLbl>
              <c:idx val="1"/>
              <c:layout>
                <c:manualLayout>
                  <c:x val="-0.11767678240274948"/>
                  <c:y val="8.4507042253521125E-2"/>
                </c:manualLayout>
              </c:layout>
              <c:showLegendKey val="0"/>
              <c:showVal val="1"/>
              <c:showCatName val="0"/>
              <c:showSerName val="0"/>
              <c:showPercent val="0"/>
              <c:showBubbleSize val="0"/>
              <c:extLst>
                <c:ext xmlns:c15="http://schemas.microsoft.com/office/drawing/2012/chart" uri="{CE6537A1-D6FC-4f65-9D91-7224C49458BB}">
                  <c15:layout>
                    <c:manualLayout>
                      <c:w val="0.24051573768700088"/>
                      <c:h val="0.20394736842105263"/>
                    </c:manualLayout>
                  </c15:layout>
                </c:ext>
                <c:ext xmlns:c16="http://schemas.microsoft.com/office/drawing/2014/chart" uri="{C3380CC4-5D6E-409C-BE32-E72D297353CC}">
                  <c16:uniqueId val="{00000003-96BC-4210-B0FB-020D7BBD9FFA}"/>
                </c:ext>
              </c:extLst>
            </c:dLbl>
            <c:dLbl>
              <c:idx val="2"/>
              <c:layout>
                <c:manualLayout>
                  <c:x val="-0.1632718563319856"/>
                  <c:y val="-2.8169014084507043E-2"/>
                </c:manualLayout>
              </c:layout>
              <c:showLegendKey val="0"/>
              <c:showVal val="1"/>
              <c:showCatName val="0"/>
              <c:showSerName val="0"/>
              <c:showPercent val="0"/>
              <c:showBubbleSize val="0"/>
              <c:extLst>
                <c:ext xmlns:c15="http://schemas.microsoft.com/office/drawing/2012/chart" uri="{CE6537A1-D6FC-4f65-9D91-7224C49458BB}">
                  <c15:layout>
                    <c:manualLayout>
                      <c:w val="0.21237975745455781"/>
                      <c:h val="0.20394736842105263"/>
                    </c:manualLayout>
                  </c15:layout>
                </c:ext>
                <c:ext xmlns:c16="http://schemas.microsoft.com/office/drawing/2014/chart" uri="{C3380CC4-5D6E-409C-BE32-E72D297353CC}">
                  <c16:uniqueId val="{00000004-96BC-4210-B0FB-020D7BBD9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product'!$A$4:$A$7</c:f>
              <c:strCache>
                <c:ptCount val="3"/>
                <c:pt idx="0">
                  <c:v>Beverages</c:v>
                </c:pt>
                <c:pt idx="1">
                  <c:v>Sauces</c:v>
                </c:pt>
                <c:pt idx="2">
                  <c:v>Jams, Preserves</c:v>
                </c:pt>
              </c:strCache>
            </c:strRef>
          </c:cat>
          <c:val>
            <c:numRef>
              <c:f>'Sales by product'!$B$4:$B$7</c:f>
              <c:numCache>
                <c:formatCode>"$"#,##0.00</c:formatCode>
                <c:ptCount val="3"/>
                <c:pt idx="0">
                  <c:v>110577.10999999999</c:v>
                </c:pt>
                <c:pt idx="1">
                  <c:v>69000</c:v>
                </c:pt>
                <c:pt idx="2">
                  <c:v>51541</c:v>
                </c:pt>
              </c:numCache>
            </c:numRef>
          </c:val>
          <c:extLst>
            <c:ext xmlns:c16="http://schemas.microsoft.com/office/drawing/2014/chart" uri="{C3380CC4-5D6E-409C-BE32-E72D297353CC}">
              <c16:uniqueId val="{00000000-11A8-40CA-A66D-589A395D2DA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593186231936748"/>
          <c:y val="0.28800391476489168"/>
          <c:w val="0.23830336374547265"/>
          <c:h val="0.71199608523510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report.xlsx]Transaction by Amount.!PivotTable1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amount</a:t>
            </a:r>
            <a:endParaRPr lang="en-US"/>
          </a:p>
        </c:rich>
      </c:tx>
      <c:layout>
        <c:manualLayout>
          <c:xMode val="edge"/>
          <c:yMode val="edge"/>
          <c:x val="0.37483161834873974"/>
          <c:y val="6.42459422703026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rgbClr val="002060"/>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rgbClr val="002060"/>
          </a:solidFill>
          <a:ln>
            <a:noFill/>
          </a:ln>
          <a:effectLst/>
        </c:spPr>
      </c:pivotFmt>
    </c:pivotFmts>
    <c:plotArea>
      <c:layout>
        <c:manualLayout>
          <c:layoutTarget val="inner"/>
          <c:xMode val="edge"/>
          <c:yMode val="edge"/>
          <c:x val="0.16310511719033977"/>
          <c:y val="0.15005150830237859"/>
          <c:w val="0.79094046682712882"/>
          <c:h val="0.73410567067950983"/>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114D-47F2-B6B9-DC0AA0D0C30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114D-47F2-B6B9-DC0AA0D0C30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14D-47F2-B6B9-DC0AA0D0C300}"/>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114D-47F2-B6B9-DC0AA0D0C300}"/>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114D-47F2-B6B9-DC0AA0D0C300}"/>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F0A0-4071-976D-DA1063141F99}"/>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114D-47F2-B6B9-DC0AA0D0C300}"/>
              </c:ext>
            </c:extLst>
          </c:dPt>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2-F0A0-4071-976D-DA1063141F99}"/>
            </c:ext>
          </c:extLst>
        </c:ser>
        <c:dLbls>
          <c:showLegendKey val="0"/>
          <c:showVal val="0"/>
          <c:showCatName val="0"/>
          <c:showSerName val="0"/>
          <c:showPercent val="0"/>
          <c:showBubbleSize val="0"/>
        </c:dLbls>
        <c:gapWidth val="68"/>
        <c:axId val="1300379152"/>
        <c:axId val="1300366192"/>
      </c:barChart>
      <c:catAx>
        <c:axId val="130037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NF"/>
          </a:p>
        </c:txPr>
        <c:crossAx val="1300366192"/>
        <c:crosses val="autoZero"/>
        <c:auto val="1"/>
        <c:lblAlgn val="ctr"/>
        <c:lblOffset val="100"/>
        <c:noMultiLvlLbl val="0"/>
      </c:catAx>
      <c:valAx>
        <c:axId val="1300366192"/>
        <c:scaling>
          <c:orientation val="minMax"/>
        </c:scaling>
        <c:delete val="1"/>
        <c:axPos val="l"/>
        <c:numFmt formatCode="General" sourceLinked="1"/>
        <c:majorTickMark val="out"/>
        <c:minorTickMark val="none"/>
        <c:tickLblPos val="nextTo"/>
        <c:crossAx val="130037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5 cities by revenue !PivotTable1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cities by revenue</a:t>
            </a:r>
            <a:endParaRPr lang="en-US"/>
          </a:p>
        </c:rich>
      </c:tx>
      <c:layout>
        <c:manualLayout>
          <c:xMode val="edge"/>
          <c:yMode val="edge"/>
          <c:x val="0.37483161834873974"/>
          <c:y val="6.42459422703026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rgbClr val="002060"/>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5">
              <a:lumMod val="75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20000"/>
              <a:lumOff val="80000"/>
            </a:schemeClr>
          </a:solidFill>
          <a:ln>
            <a:noFill/>
          </a:ln>
          <a:effectLst/>
        </c:spPr>
      </c:pivotFmt>
      <c:pivotFmt>
        <c:idx val="2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20000"/>
              <a:lumOff val="80000"/>
            </a:schemeClr>
          </a:solidFill>
          <a:ln>
            <a:noFill/>
          </a:ln>
          <a:effectLst/>
        </c:spPr>
      </c:pivotFmt>
      <c:pivotFmt>
        <c:idx val="2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rgbClr val="002060"/>
          </a:solidFill>
          <a:ln>
            <a:noFill/>
          </a:ln>
          <a:effectLst/>
        </c:spPr>
      </c:pivotFmt>
      <c:pivotFmt>
        <c:idx val="35"/>
        <c:spPr>
          <a:solidFill>
            <a:schemeClr val="accent5">
              <a:lumMod val="20000"/>
              <a:lumOff val="80000"/>
            </a:schemeClr>
          </a:solidFill>
          <a:ln>
            <a:noFill/>
          </a:ln>
          <a:effectLst/>
        </c:spPr>
      </c:pivotFmt>
      <c:pivotFmt>
        <c:idx val="36"/>
        <c:spPr>
          <a:solidFill>
            <a:srgbClr val="002060"/>
          </a:solidFill>
          <a:ln>
            <a:noFill/>
          </a:ln>
          <a:effectLst/>
        </c:spPr>
      </c:pivotFmt>
      <c:pivotFmt>
        <c:idx val="37"/>
        <c:spPr>
          <a:solidFill>
            <a:schemeClr val="accent5">
              <a:lumMod val="75000"/>
            </a:schemeClr>
          </a:solidFill>
          <a:ln>
            <a:noFill/>
          </a:ln>
          <a:effectLst/>
        </c:spPr>
      </c:pivotFmt>
    </c:pivotFmts>
    <c:plotArea>
      <c:layout>
        <c:manualLayout>
          <c:layoutTarget val="inner"/>
          <c:xMode val="edge"/>
          <c:yMode val="edge"/>
          <c:x val="0.16310511719033977"/>
          <c:y val="0.15005150830237859"/>
          <c:w val="0.79094046682712882"/>
          <c:h val="0.73410567067950983"/>
        </c:manualLayout>
      </c:layout>
      <c:pieChart>
        <c:varyColors val="1"/>
        <c:ser>
          <c:idx val="0"/>
          <c:order val="0"/>
          <c:tx>
            <c:strRef>
              <c:f>'Top 5 cities by revenue '!$B$3</c:f>
              <c:strCache>
                <c:ptCount val="1"/>
                <c:pt idx="0">
                  <c:v>Total</c:v>
                </c:pt>
              </c:strCache>
            </c:strRef>
          </c:tx>
          <c:spPr>
            <a:solidFill>
              <a:srgbClr val="002060"/>
            </a:solidFill>
          </c:spPr>
          <c:dPt>
            <c:idx val="0"/>
            <c:bubble3D val="0"/>
            <c:spPr>
              <a:solidFill>
                <a:srgbClr val="002060"/>
              </a:solidFill>
              <a:ln>
                <a:noFill/>
              </a:ln>
              <a:effectLst/>
            </c:spPr>
            <c:extLst>
              <c:ext xmlns:c16="http://schemas.microsoft.com/office/drawing/2014/chart" uri="{C3380CC4-5D6E-409C-BE32-E72D297353CC}">
                <c16:uniqueId val="{00000001-D751-487B-B891-791197BD84B8}"/>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1-1C43-4815-9872-5BE1B4394907}"/>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3-1C43-4815-9872-5BE1B4394907}"/>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5-1C43-4815-9872-5BE1B4394907}"/>
              </c:ext>
            </c:extLst>
          </c:dPt>
          <c:dPt>
            <c:idx val="4"/>
            <c:bubble3D val="0"/>
            <c:spPr>
              <a:solidFill>
                <a:schemeClr val="accent5">
                  <a:lumMod val="20000"/>
                  <a:lumOff val="80000"/>
                </a:schemeClr>
              </a:solidFill>
              <a:ln>
                <a:noFill/>
              </a:ln>
              <a:effectLst/>
            </c:spPr>
            <c:extLst>
              <c:ext xmlns:c16="http://schemas.microsoft.com/office/drawing/2014/chart" uri="{C3380CC4-5D6E-409C-BE32-E72D297353CC}">
                <c16:uniqueId val="{00000007-1C43-4815-9872-5BE1B4394907}"/>
              </c:ext>
            </c:extLst>
          </c:dPt>
          <c:cat>
            <c:strRef>
              <c:f>'Top 5 cities by revenue '!$A$4:$A$9</c:f>
              <c:strCache>
                <c:ptCount val="5"/>
                <c:pt idx="0">
                  <c:v>New York</c:v>
                </c:pt>
                <c:pt idx="1">
                  <c:v>Portland</c:v>
                </c:pt>
                <c:pt idx="2">
                  <c:v>Miami</c:v>
                </c:pt>
                <c:pt idx="3">
                  <c:v>Memphis</c:v>
                </c:pt>
                <c:pt idx="4">
                  <c:v>Chicago</c:v>
                </c:pt>
              </c:strCache>
            </c:strRef>
          </c:cat>
          <c:val>
            <c:numRef>
              <c:f>'Top 5 cities by revenue '!$B$4:$B$9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8-1C43-4815-9872-5BE1B439490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6 ship cities by revenue!PivotTable1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6 ship cities by revenue</a:t>
            </a:r>
            <a:endParaRPr lang="en-US"/>
          </a:p>
        </c:rich>
      </c:tx>
      <c:layout>
        <c:manualLayout>
          <c:xMode val="edge"/>
          <c:yMode val="edge"/>
          <c:x val="0.37483161834873974"/>
          <c:y val="6.42459422703026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rgbClr val="002060"/>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5">
              <a:lumMod val="75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20000"/>
              <a:lumOff val="80000"/>
            </a:schemeClr>
          </a:solidFill>
          <a:ln>
            <a:noFill/>
          </a:ln>
          <a:effectLst/>
        </c:spPr>
      </c:pivotFmt>
      <c:pivotFmt>
        <c:idx val="2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pivotFmt>
      <c:pivotFmt>
        <c:idx val="32"/>
        <c:spPr>
          <a:solidFill>
            <a:schemeClr val="accent5">
              <a:lumMod val="50000"/>
            </a:schemeClr>
          </a:solidFill>
          <a:ln>
            <a:noFill/>
          </a:ln>
          <a:effectLst/>
        </c:spPr>
      </c:pivotFmt>
      <c:pivotFmt>
        <c:idx val="33"/>
        <c:spPr>
          <a:solidFill>
            <a:srgbClr val="002060"/>
          </a:solidFill>
          <a:ln>
            <a:noFill/>
          </a:ln>
          <a:effectLst/>
        </c:spPr>
      </c:pivotFmt>
    </c:pivotFmts>
    <c:plotArea>
      <c:layout>
        <c:manualLayout>
          <c:layoutTarget val="inner"/>
          <c:xMode val="edge"/>
          <c:yMode val="edge"/>
          <c:x val="0.16310511719033977"/>
          <c:y val="0.15005150830237859"/>
          <c:w val="0.79094046682712882"/>
          <c:h val="0.73410567067950983"/>
        </c:manualLayout>
      </c:layout>
      <c:barChart>
        <c:barDir val="bar"/>
        <c:grouping val="clustered"/>
        <c:varyColors val="0"/>
        <c:ser>
          <c:idx val="0"/>
          <c:order val="0"/>
          <c:tx>
            <c:strRef>
              <c:f>'Top 6 ship cities by revenue'!$B$3</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C1A8-45C4-83A2-795B9489B056}"/>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11-9420-4831-B503-D5E3BA84FFE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2-9420-4831-B503-D5E3BA84FFE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3-9420-4831-B503-D5E3BA84FFE7}"/>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4-9420-4831-B503-D5E3BA84FFE7}"/>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5-9420-4831-B503-D5E3BA84FFE7}"/>
              </c:ext>
            </c:extLst>
          </c:dPt>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F-9420-4831-B503-D5E3BA84FFE7}"/>
            </c:ext>
          </c:extLst>
        </c:ser>
        <c:dLbls>
          <c:showLegendKey val="0"/>
          <c:showVal val="0"/>
          <c:showCatName val="0"/>
          <c:showSerName val="0"/>
          <c:showPercent val="0"/>
          <c:showBubbleSize val="0"/>
        </c:dLbls>
        <c:gapWidth val="30"/>
        <c:axId val="1300379152"/>
        <c:axId val="1300366192"/>
      </c:barChart>
      <c:catAx>
        <c:axId val="13003791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NF"/>
          </a:p>
        </c:txPr>
        <c:crossAx val="1300366192"/>
        <c:crosses val="autoZero"/>
        <c:auto val="1"/>
        <c:lblAlgn val="ctr"/>
        <c:lblOffset val="100"/>
        <c:noMultiLvlLbl val="0"/>
      </c:catAx>
      <c:valAx>
        <c:axId val="1300366192"/>
        <c:scaling>
          <c:orientation val="minMax"/>
        </c:scaling>
        <c:delete val="1"/>
        <c:axPos val="t"/>
        <c:numFmt formatCode="&quot;$&quot;#,##0.00" sourceLinked="1"/>
        <c:majorTickMark val="out"/>
        <c:minorTickMark val="none"/>
        <c:tickLblPos val="nextTo"/>
        <c:crossAx val="130037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Trend!PivotTable1</c:name>
    <c:fmtId val="2"/>
  </c:pivotSource>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US" sz="1800" b="1"/>
              <a:t>sales trend report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F"/>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F"/>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NF"/>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04704517059245E-2"/>
          <c:y val="0.21403542298237535"/>
          <c:w val="0.91446146129709727"/>
          <c:h val="0.52232412410095008"/>
        </c:manualLayout>
      </c:layout>
      <c:lineChart>
        <c:grouping val="standard"/>
        <c:varyColors val="0"/>
        <c:ser>
          <c:idx val="0"/>
          <c:order val="0"/>
          <c:tx>
            <c:strRef>
              <c:f>'Sales Trend'!$B$3</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NF"/>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AE3-46D4-AC9E-B0C31D272CD2}"/>
            </c:ext>
          </c:extLst>
        </c:ser>
        <c:dLbls>
          <c:dLblPos val="t"/>
          <c:showLegendKey val="0"/>
          <c:showVal val="1"/>
          <c:showCatName val="0"/>
          <c:showSerName val="0"/>
          <c:showPercent val="0"/>
          <c:showBubbleSize val="0"/>
        </c:dLbls>
        <c:smooth val="0"/>
        <c:axId val="379472160"/>
        <c:axId val="379475520"/>
      </c:lineChart>
      <c:catAx>
        <c:axId val="37947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NF"/>
          </a:p>
        </c:txPr>
        <c:crossAx val="379475520"/>
        <c:crosses val="autoZero"/>
        <c:auto val="1"/>
        <c:lblAlgn val="ctr"/>
        <c:lblOffset val="100"/>
        <c:noMultiLvlLbl val="0"/>
      </c:catAx>
      <c:valAx>
        <c:axId val="379475520"/>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NF"/>
          </a:p>
        </c:txPr>
        <c:crossAx val="37947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2">
              <a:lumMod val="90000"/>
              <a:lumOff val="10000"/>
            </a:schemeClr>
          </a:solidFill>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6 ship cities by revenue!PivotTable1</c:name>
    <c:fmtId val="19"/>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b="1" baseline="0">
                <a:solidFill>
                  <a:srgbClr val="002060"/>
                </a:solidFill>
                <a:latin typeface="Garamond" panose="02020404030301010803" pitchFamily="18" charset="0"/>
              </a:rPr>
              <a:t>Top 6 ship cities by revenue</a:t>
            </a:r>
            <a:endParaRPr lang="en-US" sz="1800" b="1">
              <a:solidFill>
                <a:srgbClr val="002060"/>
              </a:solidFill>
              <a:latin typeface="Garamond" panose="02020404030301010803" pitchFamily="18" charset="0"/>
            </a:endParaRPr>
          </a:p>
        </c:rich>
      </c:tx>
      <c:layout>
        <c:manualLayout>
          <c:xMode val="edge"/>
          <c:yMode val="edge"/>
          <c:x val="0.28457525849392562"/>
          <c:y val="1.0882718607542442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rgbClr val="002060"/>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5">
              <a:lumMod val="75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20000"/>
              <a:lumOff val="80000"/>
            </a:schemeClr>
          </a:solidFill>
          <a:ln>
            <a:noFill/>
          </a:ln>
          <a:effectLst/>
        </c:spPr>
      </c:pivotFmt>
      <c:pivotFmt>
        <c:idx val="2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20000"/>
              <a:lumOff val="80000"/>
            </a:schemeClr>
          </a:solidFill>
          <a:ln>
            <a:noFill/>
          </a:ln>
          <a:effectLst/>
        </c:spPr>
      </c:pivotFmt>
      <c:pivotFmt>
        <c:idx val="35"/>
        <c:spPr>
          <a:solidFill>
            <a:schemeClr val="accent5">
              <a:lumMod val="20000"/>
              <a:lumOff val="80000"/>
            </a:schemeClr>
          </a:solidFill>
          <a:ln>
            <a:noFill/>
          </a:ln>
          <a:effectLst/>
        </c:spPr>
      </c:pivotFmt>
      <c:pivotFmt>
        <c:idx val="3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5">
              <a:lumMod val="20000"/>
              <a:lumOff val="80000"/>
            </a:schemeClr>
          </a:solidFill>
          <a:ln>
            <a:noFill/>
          </a:ln>
          <a:effectLst/>
        </c:spPr>
      </c:pivotFmt>
    </c:pivotFmts>
    <c:plotArea>
      <c:layout>
        <c:manualLayout>
          <c:layoutTarget val="inner"/>
          <c:xMode val="edge"/>
          <c:yMode val="edge"/>
          <c:x val="0.20226482902892723"/>
          <c:y val="0.17311587672603279"/>
          <c:w val="0.74901906578381383"/>
          <c:h val="0.73410567067950983"/>
        </c:manualLayout>
      </c:layout>
      <c:barChart>
        <c:barDir val="bar"/>
        <c:grouping val="clustered"/>
        <c:varyColors val="0"/>
        <c:ser>
          <c:idx val="0"/>
          <c:order val="0"/>
          <c:tx>
            <c:strRef>
              <c:f>'Top 6 ship cities by revenue'!$B$3</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FF3A-4D4C-95D5-80536C53FB57}"/>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1-3BCE-4B02-A777-EA8FA3753B4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3BCE-4B02-A777-EA8FA3753B4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3BCE-4B02-A777-EA8FA3753B42}"/>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3BCE-4B02-A777-EA8FA3753B42}"/>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3BCE-4B02-A777-EA8FA3753B42}"/>
              </c:ext>
            </c:extLst>
          </c:dPt>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3BCE-4B02-A777-EA8FA3753B42}"/>
            </c:ext>
          </c:extLst>
        </c:ser>
        <c:dLbls>
          <c:showLegendKey val="0"/>
          <c:showVal val="0"/>
          <c:showCatName val="0"/>
          <c:showSerName val="0"/>
          <c:showPercent val="0"/>
          <c:showBubbleSize val="0"/>
        </c:dLbls>
        <c:gapWidth val="30"/>
        <c:axId val="1300379152"/>
        <c:axId val="1300366192"/>
      </c:barChart>
      <c:catAx>
        <c:axId val="13003791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400" b="0" i="0" u="none" strike="noStrike" kern="1200" baseline="0">
                <a:solidFill>
                  <a:srgbClr val="002060"/>
                </a:solidFill>
                <a:latin typeface="Garamond" panose="02020404030301010803" pitchFamily="18" charset="0"/>
                <a:ea typeface="+mn-ea"/>
                <a:cs typeface="+mn-cs"/>
              </a:defRPr>
            </a:pPr>
            <a:endParaRPr lang="en-NF"/>
          </a:p>
        </c:txPr>
        <c:crossAx val="1300366192"/>
        <c:crosses val="autoZero"/>
        <c:auto val="1"/>
        <c:lblAlgn val="ctr"/>
        <c:lblOffset val="100"/>
        <c:noMultiLvlLbl val="0"/>
      </c:catAx>
      <c:valAx>
        <c:axId val="1300366192"/>
        <c:scaling>
          <c:orientation val="minMax"/>
        </c:scaling>
        <c:delete val="1"/>
        <c:axPos val="t"/>
        <c:numFmt formatCode="&quot;$&quot;#,##0.00" sourceLinked="1"/>
        <c:majorTickMark val="out"/>
        <c:minorTickMark val="none"/>
        <c:tickLblPos val="nextTo"/>
        <c:crossAx val="130037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report.xlsx]Transaction by Amount.!PivotTable1</c:name>
    <c:fmtId val="12"/>
  </c:pivotSource>
  <c:chart>
    <c:title>
      <c:tx>
        <c:rich>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r>
              <a:rPr lang="en-US" sz="1800" b="1">
                <a:solidFill>
                  <a:srgbClr val="002060"/>
                </a:solidFill>
                <a:latin typeface="Garamond" panose="02020404030301010803" pitchFamily="18" charset="0"/>
              </a:rPr>
              <a:t>Transaction</a:t>
            </a:r>
            <a:r>
              <a:rPr lang="en-US" sz="1800" b="1" baseline="0">
                <a:solidFill>
                  <a:srgbClr val="002060"/>
                </a:solidFill>
                <a:latin typeface="Garamond" panose="02020404030301010803" pitchFamily="18" charset="0"/>
              </a:rPr>
              <a:t> by amount</a:t>
            </a:r>
            <a:endParaRPr lang="en-US" sz="1800" b="1">
              <a:solidFill>
                <a:srgbClr val="002060"/>
              </a:solidFill>
              <a:latin typeface="Garamond" panose="02020404030301010803" pitchFamily="18" charset="0"/>
            </a:endParaRPr>
          </a:p>
        </c:rich>
      </c:tx>
      <c:layout>
        <c:manualLayout>
          <c:xMode val="edge"/>
          <c:yMode val="edge"/>
          <c:x val="0.37483161834873974"/>
          <c:y val="6.424594227030266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pivotFmt>
      <c:pivotFmt>
        <c:idx val="9"/>
        <c:spPr>
          <a:solidFill>
            <a:srgbClr val="002060"/>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5">
              <a:lumMod val="75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2060"/>
          </a:solidFill>
          <a:ln>
            <a:noFill/>
          </a:ln>
          <a:effectLst/>
        </c:spPr>
      </c:pivotFmt>
      <c:pivotFmt>
        <c:idx val="26"/>
        <c:spPr>
          <a:solidFill>
            <a:schemeClr val="accent5">
              <a:lumMod val="75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s>
    <c:plotArea>
      <c:layout>
        <c:manualLayout>
          <c:layoutTarget val="inner"/>
          <c:xMode val="edge"/>
          <c:yMode val="edge"/>
          <c:x val="5.0135217502684799E-2"/>
          <c:y val="0.10637285555547703"/>
          <c:w val="0.79094046682712882"/>
          <c:h val="0.73410567067950983"/>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8670-49EF-80A4-12D75B07843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670-49EF-80A4-12D75B07843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670-49EF-80A4-12D75B078431}"/>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670-49EF-80A4-12D75B078431}"/>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8670-49EF-80A4-12D75B078431}"/>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8670-49EF-80A4-12D75B078431}"/>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8670-49EF-80A4-12D75B078431}"/>
              </c:ext>
            </c:extLst>
          </c:dPt>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E-8670-49EF-80A4-12D75B078431}"/>
            </c:ext>
          </c:extLst>
        </c:ser>
        <c:dLbls>
          <c:showLegendKey val="0"/>
          <c:showVal val="0"/>
          <c:showCatName val="0"/>
          <c:showSerName val="0"/>
          <c:showPercent val="0"/>
          <c:showBubbleSize val="0"/>
        </c:dLbls>
        <c:gapWidth val="68"/>
        <c:axId val="1300379152"/>
        <c:axId val="1300366192"/>
      </c:barChart>
      <c:catAx>
        <c:axId val="130037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400" b="0" i="0" u="none" strike="noStrike" kern="1200" baseline="0">
                <a:solidFill>
                  <a:srgbClr val="002060"/>
                </a:solidFill>
                <a:latin typeface="Garamond" panose="02020404030301010803" pitchFamily="18" charset="0"/>
                <a:ea typeface="+mn-ea"/>
                <a:cs typeface="+mn-cs"/>
              </a:defRPr>
            </a:pPr>
            <a:endParaRPr lang="en-NF"/>
          </a:p>
        </c:txPr>
        <c:crossAx val="1300366192"/>
        <c:crosses val="autoZero"/>
        <c:auto val="1"/>
        <c:lblAlgn val="ctr"/>
        <c:lblOffset val="100"/>
        <c:noMultiLvlLbl val="0"/>
      </c:catAx>
      <c:valAx>
        <c:axId val="1300366192"/>
        <c:scaling>
          <c:orientation val="minMax"/>
        </c:scaling>
        <c:delete val="1"/>
        <c:axPos val="l"/>
        <c:numFmt formatCode="General" sourceLinked="1"/>
        <c:majorTickMark val="out"/>
        <c:minorTickMark val="none"/>
        <c:tickLblPos val="nextTo"/>
        <c:crossAx val="130037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product!PivotTable1</c:name>
    <c:fmtId val="7"/>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b="1">
                <a:solidFill>
                  <a:srgbClr val="002060"/>
                </a:solidFill>
                <a:latin typeface="Garamond" panose="02020404030301010803" pitchFamily="18" charset="0"/>
              </a:rPr>
              <a:t>sales</a:t>
            </a:r>
            <a:r>
              <a:rPr lang="en-US" sz="1800" b="1" baseline="0">
                <a:solidFill>
                  <a:srgbClr val="002060"/>
                </a:solidFill>
                <a:latin typeface="Garamond" panose="02020404030301010803" pitchFamily="18" charset="0"/>
              </a:rPr>
              <a:t> by product</a:t>
            </a:r>
            <a:endParaRPr lang="en-US" sz="1800" b="1">
              <a:solidFill>
                <a:srgbClr val="00206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50000"/>
            </a:schemeClr>
          </a:solidFill>
          <a:ln>
            <a:noFill/>
          </a:ln>
          <a:effectLst/>
        </c:spPr>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75000"/>
            </a:schemeClr>
          </a:solidFill>
          <a:ln>
            <a:noFill/>
          </a:ln>
          <a:effectLst/>
        </c:spPr>
      </c:pivotFmt>
    </c:pivotFmts>
    <c:plotArea>
      <c:layout>
        <c:manualLayout>
          <c:layoutTarget val="inner"/>
          <c:xMode val="edge"/>
          <c:yMode val="edge"/>
          <c:x val="0.21810519613137128"/>
          <c:y val="0.20909114856538133"/>
          <c:w val="0.7553887697139815"/>
          <c:h val="0.71090875980960322"/>
        </c:manualLayout>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C64-4097-BC96-E983D08E75BE}"/>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9C64-4097-BC96-E983D08E75B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C64-4097-BC96-E983D08E75BE}"/>
              </c:ext>
            </c:extLst>
          </c:dPt>
          <c:dPt>
            <c:idx val="3"/>
            <c:invertIfNegative val="0"/>
            <c:bubble3D val="0"/>
            <c:extLst>
              <c:ext xmlns:c16="http://schemas.microsoft.com/office/drawing/2014/chart" uri="{C3380CC4-5D6E-409C-BE32-E72D297353CC}">
                <c16:uniqueId val="{00000007-9C64-4097-BC96-E983D08E75BE}"/>
              </c:ext>
            </c:extLst>
          </c:dPt>
          <c:dPt>
            <c:idx val="4"/>
            <c:invertIfNegative val="0"/>
            <c:bubble3D val="0"/>
            <c:extLst>
              <c:ext xmlns:c16="http://schemas.microsoft.com/office/drawing/2014/chart" uri="{C3380CC4-5D6E-409C-BE32-E72D297353CC}">
                <c16:uniqueId val="{00000009-9C64-4097-BC96-E983D08E75BE}"/>
              </c:ext>
            </c:extLst>
          </c:dPt>
          <c:dPt>
            <c:idx val="5"/>
            <c:invertIfNegative val="0"/>
            <c:bubble3D val="0"/>
            <c:extLst>
              <c:ext xmlns:c16="http://schemas.microsoft.com/office/drawing/2014/chart" uri="{C3380CC4-5D6E-409C-BE32-E72D297353CC}">
                <c16:uniqueId val="{0000000B-9C64-4097-BC96-E983D08E75BE}"/>
              </c:ext>
            </c:extLst>
          </c:dPt>
          <c:cat>
            <c:strRef>
              <c:f>'Sales by product'!$A$4:$A$7</c:f>
              <c:strCache>
                <c:ptCount val="3"/>
                <c:pt idx="0">
                  <c:v>Beverages</c:v>
                </c:pt>
                <c:pt idx="1">
                  <c:v>Sauces</c:v>
                </c:pt>
                <c:pt idx="2">
                  <c:v>Jams, Preserves</c:v>
                </c:pt>
              </c:strCache>
            </c:strRef>
          </c:cat>
          <c:val>
            <c:numRef>
              <c:f>'Sales by product'!$B$4:$B$7</c:f>
              <c:numCache>
                <c:formatCode>"$"#,##0.00</c:formatCode>
                <c:ptCount val="3"/>
                <c:pt idx="0">
                  <c:v>110577.10999999999</c:v>
                </c:pt>
                <c:pt idx="1">
                  <c:v>69000</c:v>
                </c:pt>
                <c:pt idx="2">
                  <c:v>51541</c:v>
                </c:pt>
              </c:numCache>
            </c:numRef>
          </c:val>
          <c:extLst>
            <c:ext xmlns:c16="http://schemas.microsoft.com/office/drawing/2014/chart" uri="{C3380CC4-5D6E-409C-BE32-E72D297353CC}">
              <c16:uniqueId val="{0000000C-9C64-4097-BC96-E983D08E75BE}"/>
            </c:ext>
          </c:extLst>
        </c:ser>
        <c:dLbls>
          <c:showLegendKey val="0"/>
          <c:showVal val="0"/>
          <c:showCatName val="0"/>
          <c:showSerName val="0"/>
          <c:showPercent val="0"/>
          <c:showBubbleSize val="0"/>
        </c:dLbls>
        <c:gapWidth val="68"/>
        <c:axId val="1300379152"/>
        <c:axId val="1300366192"/>
      </c:barChart>
      <c:catAx>
        <c:axId val="13003791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400" b="0" i="0" u="none" strike="noStrike" kern="1200" baseline="0">
                <a:solidFill>
                  <a:srgbClr val="002060"/>
                </a:solidFill>
                <a:latin typeface="Garamond" panose="02020404030301010803" pitchFamily="18" charset="0"/>
                <a:ea typeface="+mn-ea"/>
                <a:cs typeface="+mn-cs"/>
              </a:defRPr>
            </a:pPr>
            <a:endParaRPr lang="en-NF"/>
          </a:p>
        </c:txPr>
        <c:crossAx val="1300366192"/>
        <c:crosses val="autoZero"/>
        <c:auto val="1"/>
        <c:lblAlgn val="ctr"/>
        <c:lblOffset val="100"/>
        <c:noMultiLvlLbl val="0"/>
      </c:catAx>
      <c:valAx>
        <c:axId val="1300366192"/>
        <c:scaling>
          <c:orientation val="minMax"/>
        </c:scaling>
        <c:delete val="1"/>
        <c:axPos val="t"/>
        <c:numFmt formatCode="&quot;$&quot;#,##0.00" sourceLinked="1"/>
        <c:majorTickMark val="out"/>
        <c:minorTickMark val="none"/>
        <c:tickLblPos val="nextTo"/>
        <c:crossAx val="1300379152"/>
        <c:crosses val="autoZero"/>
        <c:crossBetween val="between"/>
      </c:valAx>
      <c:spPr>
        <a:noFill/>
        <a:ln>
          <a:solidFill>
            <a:schemeClr val="accent1">
              <a:shade val="15000"/>
              <a:alpha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Rep!PivotTable1</c:name>
    <c:fmtId val="18"/>
  </c:pivotSource>
  <c:chart>
    <c:title>
      <c:tx>
        <c:rich>
          <a:bodyPr rot="0" spcFirstLastPara="1" vertOverflow="ellipsis" vert="horz" wrap="square" anchor="ctr" anchorCtr="1"/>
          <a:lstStyle/>
          <a:p>
            <a:pPr algn="ctr">
              <a:defRPr sz="1600" b="1" i="0" u="none" strike="noStrike" kern="1200" spc="0" baseline="0">
                <a:solidFill>
                  <a:srgbClr val="002060"/>
                </a:solidFill>
                <a:latin typeface="Garamond" panose="02020404030301010803" pitchFamily="18" charset="0"/>
                <a:ea typeface="+mn-ea"/>
                <a:cs typeface="+mn-cs"/>
              </a:defRPr>
            </a:pPr>
            <a:r>
              <a:rPr lang="en-US" sz="1600">
                <a:solidFill>
                  <a:srgbClr val="002060"/>
                </a:solidFill>
              </a:rPr>
              <a:t>sales performance analysis by reps</a:t>
            </a:r>
          </a:p>
        </c:rich>
      </c:tx>
      <c:layout>
        <c:manualLayout>
          <c:xMode val="edge"/>
          <c:yMode val="edge"/>
          <c:x val="0.16226177466298164"/>
          <c:y val="3.3311501271189425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rgbClr val="002060"/>
              </a:solidFill>
              <a:latin typeface="Garamond" panose="02020404030301010803" pitchFamily="18" charset="0"/>
              <a:ea typeface="+mn-ea"/>
              <a:cs typeface="+mn-cs"/>
            </a:defRPr>
          </a:pPr>
          <a:endParaRPr lang="en-NF"/>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20000"/>
              <a:lumOff val="8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50000"/>
            </a:schemeClr>
          </a:solidFill>
          <a:ln>
            <a:noFill/>
          </a:ln>
          <a:effectLst/>
        </c:spPr>
      </c:pivotFmt>
      <c:pivotFmt>
        <c:idx val="17"/>
        <c:spPr>
          <a:solidFill>
            <a:schemeClr val="accent5">
              <a:lumMod val="50000"/>
            </a:schemeClr>
          </a:solidFill>
          <a:ln>
            <a:noFill/>
          </a:ln>
          <a:effectLst/>
        </c:spPr>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Garamond" panose="02020404030301010803" pitchFamily="18" charset="0"/>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20000"/>
              <a:lumOff val="8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50000"/>
            </a:schemeClr>
          </a:solidFill>
          <a:ln>
            <a:noFill/>
          </a:ln>
          <a:effectLst/>
        </c:spPr>
      </c:pivotFmt>
      <c:pivotFmt>
        <c:idx val="26"/>
        <c:spPr>
          <a:solidFill>
            <a:schemeClr val="accent5">
              <a:lumMod val="50000"/>
            </a:schemeClr>
          </a:solidFill>
          <a:ln>
            <a:noFill/>
          </a:ln>
          <a:effectLst/>
        </c:spPr>
      </c:pivotFmt>
    </c:pivotFmts>
    <c:plotArea>
      <c:layout>
        <c:manualLayout>
          <c:layoutTarget val="inner"/>
          <c:xMode val="edge"/>
          <c:yMode val="edge"/>
          <c:x val="0.25105729426327983"/>
          <c:y val="0.21706116968207353"/>
          <c:w val="0.66621121683017692"/>
          <c:h val="0.71745027337028355"/>
        </c:manualLayout>
      </c:layout>
      <c:barChart>
        <c:barDir val="bar"/>
        <c:grouping val="clustered"/>
        <c:varyColors val="0"/>
        <c:ser>
          <c:idx val="0"/>
          <c:order val="0"/>
          <c:tx>
            <c:strRef>
              <c:f>'Sales by Rep'!$B$3</c:f>
              <c:strCache>
                <c:ptCount val="1"/>
                <c:pt idx="0">
                  <c:v>Total</c:v>
                </c:pt>
              </c:strCache>
            </c:strRef>
          </c:tx>
          <c:spPr>
            <a:solidFill>
              <a:schemeClr val="accent6"/>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20D-49F3-8F65-25D1AE3653E8}"/>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320D-49F3-8F65-25D1AE3653E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20D-49F3-8F65-25D1AE3653E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320D-49F3-8F65-25D1AE3653E8}"/>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9-320D-49F3-8F65-25D1AE3653E8}"/>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B-320D-49F3-8F65-25D1AE3653E8}"/>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D-320D-49F3-8F65-25D1AE3653E8}"/>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F-320D-49F3-8F65-25D1AE3653E8}"/>
              </c:ext>
            </c:extLst>
          </c:dPt>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0-320D-49F3-8F65-25D1AE3653E8}"/>
            </c:ext>
          </c:extLst>
        </c:ser>
        <c:dLbls>
          <c:showLegendKey val="0"/>
          <c:showVal val="0"/>
          <c:showCatName val="0"/>
          <c:showSerName val="0"/>
          <c:showPercent val="0"/>
          <c:showBubbleSize val="0"/>
        </c:dLbls>
        <c:gapWidth val="20"/>
        <c:axId val="347240512"/>
        <c:axId val="347239552"/>
      </c:barChart>
      <c:catAx>
        <c:axId val="347240512"/>
        <c:scaling>
          <c:orientation val="minMax"/>
        </c:scaling>
        <c:delete val="0"/>
        <c:axPos val="l"/>
        <c:numFmt formatCode="General" sourceLinked="1"/>
        <c:majorTickMark val="out"/>
        <c:minorTickMark val="none"/>
        <c:tickLblPos val="nextTo"/>
        <c:spPr>
          <a:noFill/>
          <a:ln w="317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002060"/>
                </a:solidFill>
                <a:latin typeface="Garamond" panose="02020404030301010803" pitchFamily="18" charset="0"/>
                <a:ea typeface="+mn-ea"/>
                <a:cs typeface="+mn-cs"/>
              </a:defRPr>
            </a:pPr>
            <a:endParaRPr lang="en-NF"/>
          </a:p>
        </c:txPr>
        <c:crossAx val="347239552"/>
        <c:crosses val="autoZero"/>
        <c:auto val="1"/>
        <c:lblAlgn val="ctr"/>
        <c:lblOffset val="100"/>
        <c:noMultiLvlLbl val="0"/>
      </c:catAx>
      <c:valAx>
        <c:axId val="347239552"/>
        <c:scaling>
          <c:orientation val="minMax"/>
        </c:scaling>
        <c:delete val="1"/>
        <c:axPos val="b"/>
        <c:numFmt formatCode="&quot;$&quot;#,##0.00" sourceLinked="1"/>
        <c:majorTickMark val="out"/>
        <c:minorTickMark val="none"/>
        <c:tickLblPos val="nextTo"/>
        <c:crossAx val="347240512"/>
        <c:crosses val="autoZero"/>
        <c:crossBetween val="between"/>
      </c:valAx>
      <c:spPr>
        <a:noFill/>
        <a:ln w="0" cap="rnd" cmpd="sng">
          <a:solidFill>
            <a:schemeClr val="accent1"/>
          </a:solidFill>
        </a:ln>
        <a:effectLst>
          <a:softEdge rad="2794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Garamond" panose="02020404030301010803" pitchFamily="18" charset="0"/>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report.xlsx]top ten customers!PivotTable3</c:name>
    <c:fmtId val="2"/>
  </c:pivotSource>
  <c:chart>
    <c:title>
      <c:tx>
        <c:rich>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r>
              <a:rPr lang="en-US" sz="1800" b="1">
                <a:solidFill>
                  <a:srgbClr val="002060"/>
                </a:solidFill>
                <a:latin typeface="Garamond" panose="02020404030301010803" pitchFamily="18" charset="0"/>
              </a:rPr>
              <a:t>Top</a:t>
            </a:r>
            <a:r>
              <a:rPr lang="en-US" sz="1800" b="1" baseline="0">
                <a:solidFill>
                  <a:srgbClr val="002060"/>
                </a:solidFill>
                <a:latin typeface="Garamond" panose="02020404030301010803" pitchFamily="18" charset="0"/>
              </a:rPr>
              <a:t> ten customers by revenue</a:t>
            </a:r>
            <a:endParaRPr lang="en-US" sz="1800" b="1">
              <a:solidFill>
                <a:srgbClr val="00206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s>
    <c:plotArea>
      <c:layout>
        <c:manualLayout>
          <c:layoutTarget val="inner"/>
          <c:xMode val="edge"/>
          <c:yMode val="edge"/>
          <c:x val="0.19370750745542115"/>
          <c:y val="0.20830128173542956"/>
          <c:w val="0.78951465310528601"/>
          <c:h val="0.75488889520098457"/>
        </c:manualLayout>
      </c:layout>
      <c:barChart>
        <c:barDir val="bar"/>
        <c:grouping val="clustered"/>
        <c:varyColors val="0"/>
        <c:ser>
          <c:idx val="0"/>
          <c:order val="0"/>
          <c:tx>
            <c:strRef>
              <c:f>'top ten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ECB-45F2-AFFC-426653FF22C1}"/>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8ECB-45F2-AFFC-426653FF22C1}"/>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8ECB-45F2-AFFC-426653FF22C1}"/>
              </c:ext>
            </c:extLst>
          </c:dPt>
          <c:dPt>
            <c:idx val="3"/>
            <c:invertIfNegative val="0"/>
            <c:bubble3D val="0"/>
            <c:extLst>
              <c:ext xmlns:c16="http://schemas.microsoft.com/office/drawing/2014/chart" uri="{C3380CC4-5D6E-409C-BE32-E72D297353CC}">
                <c16:uniqueId val="{00000007-8ECB-45F2-AFFC-426653FF22C1}"/>
              </c:ext>
            </c:extLst>
          </c:dPt>
          <c:dPt>
            <c:idx val="4"/>
            <c:invertIfNegative val="0"/>
            <c:bubble3D val="0"/>
            <c:extLst>
              <c:ext xmlns:c16="http://schemas.microsoft.com/office/drawing/2014/chart" uri="{C3380CC4-5D6E-409C-BE32-E72D297353CC}">
                <c16:uniqueId val="{00000009-8ECB-45F2-AFFC-426653FF22C1}"/>
              </c:ext>
            </c:extLst>
          </c:dPt>
          <c:dPt>
            <c:idx val="5"/>
            <c:invertIfNegative val="0"/>
            <c:bubble3D val="0"/>
            <c:extLst>
              <c:ext xmlns:c16="http://schemas.microsoft.com/office/drawing/2014/chart" uri="{C3380CC4-5D6E-409C-BE32-E72D297353CC}">
                <c16:uniqueId val="{0000000B-8ECB-45F2-AFFC-426653FF22C1}"/>
              </c:ext>
            </c:extLst>
          </c:dPt>
          <c:dPt>
            <c:idx val="6"/>
            <c:invertIfNegative val="0"/>
            <c:bubble3D val="0"/>
            <c:extLst>
              <c:ext xmlns:c16="http://schemas.microsoft.com/office/drawing/2014/chart" uri="{C3380CC4-5D6E-409C-BE32-E72D297353CC}">
                <c16:uniqueId val="{0000000D-8ECB-45F2-AFFC-426653FF22C1}"/>
              </c:ext>
            </c:extLst>
          </c:dPt>
          <c:dPt>
            <c:idx val="7"/>
            <c:invertIfNegative val="0"/>
            <c:bubble3D val="0"/>
            <c:extLst>
              <c:ext xmlns:c16="http://schemas.microsoft.com/office/drawing/2014/chart" uri="{C3380CC4-5D6E-409C-BE32-E72D297353CC}">
                <c16:uniqueId val="{0000000F-8ECB-45F2-AFFC-426653FF22C1}"/>
              </c:ext>
            </c:extLst>
          </c:dPt>
          <c:dPt>
            <c:idx val="8"/>
            <c:invertIfNegative val="0"/>
            <c:bubble3D val="0"/>
            <c:extLst>
              <c:ext xmlns:c16="http://schemas.microsoft.com/office/drawing/2014/chart" uri="{C3380CC4-5D6E-409C-BE32-E72D297353CC}">
                <c16:uniqueId val="{00000011-8ECB-45F2-AFFC-426653FF22C1}"/>
              </c:ext>
            </c:extLst>
          </c:dPt>
          <c:dPt>
            <c:idx val="9"/>
            <c:invertIfNegative val="0"/>
            <c:bubble3D val="0"/>
            <c:extLst>
              <c:ext xmlns:c16="http://schemas.microsoft.com/office/drawing/2014/chart" uri="{C3380CC4-5D6E-409C-BE32-E72D297353CC}">
                <c16:uniqueId val="{00000013-8ECB-45F2-AFFC-426653FF22C1}"/>
              </c:ext>
            </c:extLst>
          </c:dPt>
          <c:cat>
            <c:strRef>
              <c:f>'top ten customers'!$A$4:$A$7</c:f>
              <c:strCache>
                <c:ptCount val="3"/>
                <c:pt idx="0">
                  <c:v>Company D</c:v>
                </c:pt>
                <c:pt idx="1">
                  <c:v>Company H</c:v>
                </c:pt>
                <c:pt idx="2">
                  <c:v>Company BB</c:v>
                </c:pt>
              </c:strCache>
            </c:strRef>
          </c:cat>
          <c:val>
            <c:numRef>
              <c:f>'top ten customers'!$B$4:$B$7</c:f>
              <c:numCache>
                <c:formatCode>"$"#,##0.00</c:formatCode>
                <c:ptCount val="3"/>
                <c:pt idx="0">
                  <c:v>67180.5</c:v>
                </c:pt>
                <c:pt idx="1">
                  <c:v>50208.35</c:v>
                </c:pt>
                <c:pt idx="2">
                  <c:v>43713</c:v>
                </c:pt>
              </c:numCache>
            </c:numRef>
          </c:val>
          <c:extLst>
            <c:ext xmlns:c16="http://schemas.microsoft.com/office/drawing/2014/chart" uri="{C3380CC4-5D6E-409C-BE32-E72D297353CC}">
              <c16:uniqueId val="{00000014-8ECB-45F2-AFFC-426653FF22C1}"/>
            </c:ext>
          </c:extLst>
        </c:ser>
        <c:dLbls>
          <c:showLegendKey val="0"/>
          <c:showVal val="0"/>
          <c:showCatName val="0"/>
          <c:showSerName val="0"/>
          <c:showPercent val="0"/>
          <c:showBubbleSize val="0"/>
        </c:dLbls>
        <c:gapWidth val="30"/>
        <c:axId val="610878112"/>
        <c:axId val="610873312"/>
      </c:barChart>
      <c:catAx>
        <c:axId val="610878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002060"/>
                </a:solidFill>
                <a:latin typeface="Garamond" panose="02020404030301010803" pitchFamily="18" charset="0"/>
                <a:ea typeface="+mn-ea"/>
                <a:cs typeface="+mn-cs"/>
              </a:defRPr>
            </a:pPr>
            <a:endParaRPr lang="en-NF"/>
          </a:p>
        </c:txPr>
        <c:crossAx val="610873312"/>
        <c:crosses val="autoZero"/>
        <c:auto val="1"/>
        <c:lblAlgn val="ctr"/>
        <c:lblOffset val="100"/>
        <c:noMultiLvlLbl val="0"/>
      </c:catAx>
      <c:valAx>
        <c:axId val="610873312"/>
        <c:scaling>
          <c:orientation val="minMax"/>
        </c:scaling>
        <c:delete val="1"/>
        <c:axPos val="t"/>
        <c:numFmt formatCode="&quot;$&quot;#,##0.00" sourceLinked="1"/>
        <c:majorTickMark val="none"/>
        <c:minorTickMark val="none"/>
        <c:tickLblPos val="nextTo"/>
        <c:crossAx val="61087811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[Revolve aanalytical report.xlsx]Sales by Region!PivotTable2</c:name>
    <c:fmtId val="2"/>
  </c:pivotSource>
  <c:chart>
    <c:title>
      <c:tx>
        <c:rich>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r>
              <a:rPr lang="en-US" sz="1800" b="1">
                <a:solidFill>
                  <a:srgbClr val="002060"/>
                </a:solidFill>
              </a:rPr>
              <a:t>Sales by 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pivotFmt>
      <c:pivotFmt>
        <c:idx val="7"/>
        <c:spPr>
          <a:solidFill>
            <a:schemeClr val="accent5">
              <a:lumMod val="75000"/>
            </a:schemeClr>
          </a:solidFill>
          <a:ln w="19050">
            <a:solidFill>
              <a:schemeClr val="lt1"/>
            </a:solidFill>
          </a:ln>
          <a:effectLst/>
        </c:spPr>
      </c:pivotFmt>
      <c:pivotFmt>
        <c:idx val="8"/>
        <c:spPr>
          <a:solidFill>
            <a:schemeClr val="accent5">
              <a:lumMod val="40000"/>
              <a:lumOff val="60000"/>
            </a:schemeClr>
          </a:solidFill>
          <a:ln w="19050">
            <a:solidFill>
              <a:schemeClr val="lt1"/>
            </a:solidFill>
          </a:ln>
          <a:effectLst/>
        </c:spPr>
      </c:pivotFmt>
      <c:pivotFmt>
        <c:idx val="9"/>
        <c:spPr>
          <a:solidFill>
            <a:schemeClr val="accent5">
              <a:lumMod val="60000"/>
              <a:lumOff val="40000"/>
            </a:schemeClr>
          </a:solidFill>
          <a:ln w="19050">
            <a:solidFill>
              <a:schemeClr val="lt1"/>
            </a:solidFill>
          </a:ln>
          <a:effectLst/>
        </c:spPr>
      </c:pivotFmt>
      <c:pivotFmt>
        <c:idx val="10"/>
        <c:spPr>
          <a:solidFill>
            <a:schemeClr val="accent5">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rgbClr val="002060"/>
                  </a:solidFill>
                  <a:latin typeface="Garamond" panose="02020404030301010803" pitchFamily="18" charset="0"/>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solidFill>
              <a:schemeClr val="bg1"/>
            </a:solidFill>
          </a:ln>
          <a:effectLst/>
        </c:spPr>
      </c:pivotFmt>
      <c:pivotFmt>
        <c:idx val="12"/>
        <c:spPr>
          <a:solidFill>
            <a:schemeClr val="accent5">
              <a:lumMod val="75000"/>
            </a:schemeClr>
          </a:solidFill>
          <a:ln w="19050">
            <a:solidFill>
              <a:schemeClr val="bg1"/>
            </a:solidFill>
          </a:ln>
          <a:effectLst/>
        </c:spPr>
      </c:pivotFmt>
      <c:pivotFmt>
        <c:idx val="13"/>
        <c:spPr>
          <a:solidFill>
            <a:schemeClr val="accent5">
              <a:lumMod val="40000"/>
              <a:lumOff val="60000"/>
            </a:schemeClr>
          </a:solidFill>
          <a:ln w="19050">
            <a:solidFill>
              <a:schemeClr val="bg1"/>
            </a:solidFill>
          </a:ln>
          <a:effectLst/>
        </c:spPr>
      </c:pivotFmt>
      <c:pivotFmt>
        <c:idx val="14"/>
        <c:spPr>
          <a:solidFill>
            <a:schemeClr val="accent5">
              <a:lumMod val="60000"/>
              <a:lumOff val="40000"/>
            </a:schemeClr>
          </a:solidFill>
          <a:ln w="19050">
            <a:solidFill>
              <a:schemeClr val="bg1"/>
            </a:solidFill>
          </a:ln>
          <a:effectLst/>
        </c:spPr>
      </c:pivotFmt>
    </c:pivotFmts>
    <c:plotArea>
      <c:layout/>
      <c:pieChart>
        <c:varyColors val="1"/>
        <c:ser>
          <c:idx val="0"/>
          <c:order val="0"/>
          <c:tx>
            <c:strRef>
              <c:f>'Sales by Region'!$B$3</c:f>
              <c:strCache>
                <c:ptCount val="1"/>
                <c:pt idx="0">
                  <c:v>Total</c:v>
                </c:pt>
              </c:strCache>
            </c:strRef>
          </c:tx>
          <c:spPr>
            <a:solidFill>
              <a:schemeClr val="accent5">
                <a:lumMod val="50000"/>
              </a:schemeClr>
            </a:solidFill>
            <a:ln>
              <a:solidFill>
                <a:schemeClr val="bg1"/>
              </a:solidFill>
            </a:ln>
          </c:spPr>
          <c:dPt>
            <c:idx val="0"/>
            <c:bubble3D val="0"/>
            <c:spPr>
              <a:solidFill>
                <a:schemeClr val="accent5">
                  <a:lumMod val="50000"/>
                </a:schemeClr>
              </a:solidFill>
              <a:ln w="19050">
                <a:solidFill>
                  <a:schemeClr val="bg1"/>
                </a:solidFill>
              </a:ln>
              <a:effectLst/>
            </c:spPr>
            <c:extLst>
              <c:ext xmlns:c16="http://schemas.microsoft.com/office/drawing/2014/chart" uri="{C3380CC4-5D6E-409C-BE32-E72D297353CC}">
                <c16:uniqueId val="{00000001-4AF2-48E1-B8FE-0481050B978A}"/>
              </c:ext>
            </c:extLst>
          </c:dPt>
          <c:dPt>
            <c:idx val="1"/>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3-4AF2-48E1-B8FE-0481050B978A}"/>
              </c:ext>
            </c:extLst>
          </c:dPt>
          <c:dPt>
            <c:idx val="2"/>
            <c:bubble3D val="0"/>
            <c:spPr>
              <a:solidFill>
                <a:schemeClr val="accent5">
                  <a:lumMod val="40000"/>
                  <a:lumOff val="60000"/>
                </a:schemeClr>
              </a:solidFill>
              <a:ln w="19050">
                <a:solidFill>
                  <a:schemeClr val="bg1"/>
                </a:solidFill>
              </a:ln>
              <a:effectLst/>
            </c:spPr>
            <c:extLst>
              <c:ext xmlns:c16="http://schemas.microsoft.com/office/drawing/2014/chart" uri="{C3380CC4-5D6E-409C-BE32-E72D297353CC}">
                <c16:uniqueId val="{00000005-4AF2-48E1-B8FE-0481050B978A}"/>
              </c:ext>
            </c:extLst>
          </c:dPt>
          <c:dPt>
            <c:idx val="3"/>
            <c:bubble3D val="0"/>
            <c:spPr>
              <a:solidFill>
                <a:schemeClr val="accent5">
                  <a:lumMod val="60000"/>
                  <a:lumOff val="40000"/>
                </a:schemeClr>
              </a:solidFill>
              <a:ln w="19050">
                <a:solidFill>
                  <a:schemeClr val="bg1"/>
                </a:solidFill>
              </a:ln>
              <a:effectLst/>
            </c:spPr>
            <c:extLst>
              <c:ext xmlns:c16="http://schemas.microsoft.com/office/drawing/2014/chart" uri="{C3380CC4-5D6E-409C-BE32-E72D297353CC}">
                <c16:uniqueId val="{00000007-4AF2-48E1-B8FE-0481050B978A}"/>
              </c:ext>
            </c:extLst>
          </c:dPt>
          <c:dLbls>
            <c:spPr>
              <a:noFill/>
              <a:ln>
                <a:noFill/>
              </a:ln>
              <a:effectLst/>
            </c:spPr>
            <c:txPr>
              <a:bodyPr rot="0" spcFirstLastPara="1" vertOverflow="ellipsis" vert="horz" wrap="square" anchor="ctr" anchorCtr="1"/>
              <a:lstStyle/>
              <a:p>
                <a:pPr>
                  <a:defRPr sz="1400" b="0" i="0" u="none" strike="noStrike" kern="1200" baseline="0">
                    <a:solidFill>
                      <a:srgbClr val="002060"/>
                    </a:solidFill>
                    <a:latin typeface="Garamond" panose="02020404030301010803" pitchFamily="18" charset="0"/>
                    <a:ea typeface="+mn-ea"/>
                    <a:cs typeface="+mn-cs"/>
                  </a:defRPr>
                </a:pPr>
                <a:endParaRPr lang="en-NF"/>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4AF2-48E1-B8FE-0481050B97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5">
                  <a:lumMod val="50000"/>
                </a:schemeClr>
              </a:solidFill>
              <a:latin typeface="Garamond" panose="02020404030301010803" pitchFamily="18" charset="0"/>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Garamond" panose="02020404030301010803" pitchFamily="18" charset="0"/>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series layoutId="regionMap" uniqueId="{69D88B49-BF1D-499E-A7EC-9853FE5D6B14}">
          <cx:tx>
            <cx:txData>
              <cx:f>_xlchart.v5.2</cx:f>
              <cx:v>Revenue</cx:v>
            </cx:txData>
          </cx:tx>
          <cx:dataId val="0"/>
          <cx:layoutPr>
            <cx:regionLabelLayout val="showAll"/>
            <cx:geography cultureLanguage="en-US" cultureRegion="NG" attribution="Powered by Bing">
              <cx:geoCache provider="{E9337A44-BEBE-4D9F-B70C-5C5E7DAFC167}">
                <cx:binary>1Htpb9w41vVfCfL5lZuUuA6mBxhJVeWyHduxnfWL4MS2SC2kJFIL9euf6046nVQ8yUyjgRcdoNOp
Ukkk73ruuVf//Lj842Nzfzs8W9rGuH98XH59rrzv/vHLL+6jum9v3VGrPw7W2Qd/9NG2v9iHB/3x
/pe74XbWpvwlRpj88lHdDv5+ef6vf8LTynt7Zj/eem3Ny/F+CFf3bmy8+8G1Jy89u71rtcm184P+
6PGvz5+9+fez58/ujdc+3ITu/tfn3/zi+bNfDp/z3ZrPGtiWH+/gXsKPCMYJ5YLL3/7w588aa8rP
lyMcoyNKGRGIYPT4B/++9vltC/e/uXUKzu+t+f37p/b0245u7+6Ge+fgQL/9/9t7vzkDXPr382cf
7Wj8o9xKEOGvz18Z7e/vnl37W3/vnj/TzmaffpDZx4O8uv7t5L98K/l//fPgC5DFwTdfKedQcD+7
9L1uzt/9lbqJj2QiY5Ik8W+iR8m3uuH0iMEVyjD5pDv2uw4+6eb8fn72zg7179/+95r5484DvZy/
+3vq5eLqr9RLAnoRTLCEfZK7/FYvn3xGgFsdOMvFcF/+GUf5/b4DZVxc/T2VcXP+FyojoUeCxFIi
IT45SfytMgQ7SkgSE0bYFyf6FDw/OcnNvTEQle7v/3cv+erWA83cnP89NbM9+ws1E4sjKinFDH/2
kgM3EfERETwhsUie1My2sYO+u/3f9fLlxgOtbM/+nlp5s/8LtULIEUukpAlDTwYvIY94EoPe5NNa
eaPdR2uc/jP5/o9bDzTzZv/31Mz+r/QXgo5wTDAT5JM7oMNIJo8wgaRDBf2iua8j2b5ptLEasNF/
BodPA7E/7jzQy/5v6jGvbv5Cj0nkURInnLOYPplhMMZHjIs4jtkBAHvlb9X/ro1Pdx1o4tXN39ND
sr+yWEn4UUwJYxLLT5oAfPVNsYLlEcM85ph8zjm/S/9Trs9uG/1gB6P/RFL5+t4D3WT//nvqZp//
hV4CeSUREnGIYJ+ikzjUDSQeSCpcIPqtVvZ3t8r+/tV/X6N8vu1AF/v876mL7OIv1EUijqQUlCLy
uXA89BNEjyjhImFQUX6dQjILmOv27k9o4487DxSSXfwtFPJjsuHrhPrNL/9HtgVSCUVAtpCEf4G8
XwcwKY8QflSL/FzRk2/1c8CB/OdtPZ3nD27/5iR/F4Ll9V/pJ5DZgdsiNPmMhb+LWQxiFk0E/1xc
gh997S7n99PtnylQfr/vwFXOX///cZX/TIh9YQ7zW3+7+Y1y/IoT+/HV38m0g1t/AE4/X9rf/foc
Y5QA/P1CZT4+5BvRf6nxPunjq3vub53/9Xkk0BE8AlGMBCMx8Jugu/n+0yUOJVAMyUjiGCNISZCQ
jB28+vV5go+A4gTvS2ADKIbq9PkzZ8fHSzE5ojEwPmAKDLAgk/QLz3tpmwDEzhd5fP78zIztpdXG
u1+fg2V1n371uFVKJOB4khAM1gX/RBgO2328vQIqFX6M/185L2gVnR2P43gsfdbUsm0zEit5RsZE
upTTwZzVbARqWKpJQNb7IqsnVocDfr06RTERscAgH8Epi+PH3X21et+Xq5zWxe/mMZ42PLRsg3Xc
5IHr9vhPLAXJCCFOgEVmB0sNSTVh3FK/I3jQuybGc5o41W0Sgfs/cSoQpUwYx6D0BND416da8VJ3
gRC/a5ZF75Zk7fPB+zrzCx+hAP2RAIG6+E6ACZyJQDSPoSI7ONUy+bFuKAhQ6kKmU4hfmmFkD8vE
8tIUVcZtEqV9UdRZh4jNfrw42OATiyeEP1oxlvTgnH5RRZF03u8iS1iKq0VtDCY91HI/OuL3NkKh
qRFD6CMshhB4sIorReKmvhh3gyRsANs0zqd06fm0qbrWtD85FPQZDg5FYwy+FSc4BjMhj4f+yiRp
P8WJwn7clYH5VNXDPdAUD6K0bYqb9pQVVZf++IDfi5FCzSahohBQLyCGvl2xUHU1i8SOuwpRmplC
NqAsaTc/XuVRTF85OrgarPJIUAqOJGSaRzF/dS4yFtjUfT3uEj2FNImiszJyFwHHcbaglv7kTE9J
8evVDpTGCCr7kjbjTkwzTgur03JqfdpVdZdaKX061PWHHx8whkD63QkhQzLIk0yCQR6EsqBqJuYZ
3A4rRi6IJc3rEo3FntlVHI+2rPOxv+JTEFnfEHfHPBInHU2Ox3Kwu2mU02Zc4jkdZt59XJYk2gdG
ZBoXvr9eh5A2XJUZrvv1J4EJP6H/BBGOMKOCx99ZnHAli60HN9LzSOqURHPN02Wh0yaKEpRqh/us
E3bOE5DeJm4W8h6tfLkcsejOuV+TrOxKeQF4rvyJL9Antwbx+dHDKfx34AyVbFi90sbvFq82caFo
rge1ZL1gfuP60r1adFJlaGayyW2zmpPFVMOZK9qpztvFT+mETFoTV6V9MChNcFfkhREoNXEZTssx
Hs5jtkb7tZ5t3k/e5zOnXdb7Qb4eZx299pMoMpnoPhtIxLfQodLplAxiM9rlxNeDS+eoGTNfUJku
DT1VpH41zsKd1yQkaUjWejsko87nyF9YydfjXvM1DaRJ0qVoijOkAnoTDf20q0wdZQUND3VIrrzw
dSp5WR97pvwFPNlsf2yt3zvIY12UxOD1kIM5PzDWxZV0pPOj0p06j+pRZVqgPdbLzbgW3WYcW/w/
uySsCNUWo4jyx3jzbQCQwzIJudZ+NxTFHjuyaXD5URpyNiSGZLVkb398wu/jtqAcog0GlkQC9DkI
a66UkwHd+F0Vmi6NJzLvSzsnGxEPIf/xUt+bqaAihh4k9MFQkrADMy1HOlXzZCELiome2qjHezuP
/CcCfHIVwoBgE0kCxdOBAFtURK2fQYARG9CQ9lxGx2NfissfHwZ/H8fgNNC1E4AWgUSiB+vUOlox
66TbLQu2ucWu2rKlLXPmjE1J4ThACjB8xJPyZBBvhrjcWVLrn4UlKMEPwinwuwnDVGCaYEwO9Nf3
lqx64m5HloZv5l4222Ku/JbMXossISvZY7PIzYDsfWNnflX7at6VFE0v2nVNTmhti59oIH5yT5wD
wSMSCZj1IK2UJIqiQiVuZ8rR7NFANxKNc7oa358XrhszxcfuXUPBlZs+Chdjp0PGNIpzKYzNuWnu
G7xM57VY8nWd349VFGe99t11MKNOO6/pMS3VfGJCcx4h/zNw8fQBJHRkE4D04P+Puv8qCxd4kG0Q
MwhVhaty4N12nEn5SkEUy7qeV3nhMMpazjxkrKE9CWq9FZrfuIHJ/dgVRbaIYdooZOVLu3J7I8h6
v9LCnCRCye3clSGf6yqCXOGb7aD77icpAT+q/Vsc8Uj7/3GCA+ucfQMbtsHtQlSVJ8UqzYmni8mr
COVeDxDkRxbSqkL7xIYpcx1pf2IFyZNWIKHNSsEZMT90dxEglgQ6ul0VKd+lYyPoB4BVl5w4kzYS
3dlmWt7wGKuPbsj8OJVZZWOV14ky6VS6bYyczQdGeDprPLcpj8cuU7DgbqFVlZGqxPfBYAyhkl/z
pN5QVNmcRfJNJ6rhGE8UnUUUN8ertbd8QtcswEIlwWPWzdLRn8j8e+gmoGeMCfRkKENQLX1rNDQW
vC4qCAh91bwxxY5PVZNHK1KpXWnyE5z4RNhmgBWh8iQcHowOKgrX1MwMEHR2XWkepBYFZO2pSsmy
yp+s9PikA0uClYSMJSGMo0Ng3xfl2PGCgiUN5U2Nk/JN1axFk7YBqgka6qZJEYvEScGw+okJPZF9
GZCSjCfQ9kUAvL+VqC91HxcVcruRh3eFF5cL768QKR4a7j9Ayct+kqB+w57fnZXGUuAYCm52GNPl
FLlFazBZKMPN1ZgA7glFkgejpiyZ1ntUtDdWN0tehg7ADRE6m1w55AjQyo/Ty5PGBGQTZJaEE3SY
lvXoJ6om8N9ZWJ+jjrOUqEKlkbZlRlX18OPlnkiaDAFyFBJD7Q1F/reSZrKqy3ZcQMlhWHZlh4ts
HYX6SY34pHxheoyAJT0yaeIAAVQOlxaTzu2gRh4yMS0qn0wlM1aIaD+7BLxzImMehb7ZzEXZZsAG
NJtlik7Xlf0sRn5flAvo/gBaRuBDgh766xxGuipXw2Ymjzaq5OXWDeuLMIUyK1scZZ1rzU5xH6e2
HtFP3Ao/5cGAhkDYgNsFObQ1X05FnBg07AIm6kPHh4im81D6C6cxbdOZWcYyO8ID0ijICAA16xua
o6qr47TtuaqzOQrzi0klZZHG3o84oyV1dz+2jCe2KSRjDGIMB5yDDyxDRUIHali/Y0sxbEeyThvi
erkBLK9/IpInlpIQPzm0hYCGg4mpb41QV9h1/cD7nV+L9oEkgb9cjWqHNGLoTxwLMCgl6JGwhQUP
jtWZbvWdIP2Oxnp4KWEsZWsDL06rwd/+WIBPBDFYCWgRgIgcSK0Dm4/XoqzsCCvpBJV54U133ZZ9
vIHstqZoaUlKrAo/CR9PihLqa8JgnoZQeXC8skTGS0X7XYjxlLV0mVNdtXE+oNj9ZCmYBfk+QwDS
AE6cS2gSQcT6Vm+iJnYsVwwmQgbUb1kIfsi0IvOa07YwTcYGF+cMMHmT9ck0R1uoHMdlsy48aV+2
goJz6QQ4xn3hQvM67qZG5YOpxZh3TcN06ote3dqZRi/qRFC3LVVTVqkzWKvUwJGSjDMrRC4nOuPt
nKAknNJIyZ0OA183lgyqSsta4Rs2xivOG7LQeFvhdmGbRHYqfitnrNt7VgFZUqYdVDDqdFFDUuSD
rgf1yjUWh31jgF3bKY1bsolQh0/adVminRvryZ3T1oziBfFjKF4yhxuzhc/RvG3nwdVLOhJZm9zU
EylfCG4oz0ea2Go70r65niLJipPBRPYYD7Up0lAO8ZBKpV+3jiUkXUZiqz0v57LLxGhtvQ21DuWm
7YIZzqoJykmdMdnNzc65Wdb5MtGw5HYKBTptI1cg4B3aLs67lj6CKy1EfMtdAXwJL/ySrYLY4bqj
OuI7610VLueCT9dGk8FvQtRLfoVsK8rNGKZy3AOIXba9WKTeElOyLiVdua6Zc5XcmQFS1KYpHuk/
FMWyTntHxatK9U22NK1NMkfUhNOq6+hxK8aXwPNux4l2b4oubt42wNRfecPmtGir5TgKVbNJenkx
NmFrerddFDdXBQcSlahyU69G72JSz3kt63ZbjtNJMoU5izt3W9WMpHSMi3yslmTbJskdSaJ5M5ng
YA8D3zE3o40kmu2IXG0KiHlNKyPLU0e65QP3/ZyTMVSp4dPt2jN6PCXLmk5LSKluXiPENixi/SWV
7bDByOjLOpnXbEQan4q2US+SGfQB1YJOnS5eL2tCdzTCL7VWXarCUuwLSepsqeoRQIXjWQNZIneO
ry/rZtn3nvhUr4HCX/VFDezSMpPhpF6WOF9R3W8WPzRppYopq3ndns6JyjVo9rIQ5KqN1LLBs1Db
dR3WLER+zIs4xLsVoOtVUTbdeyMcOjOKizz4nuUL8sMDi3qTRX7qcgGE9Y5bS/dDI9eUm2LZJ0jH
exe42ABJcRLjZatph7c1DW9bNPZvjS6OOSXXegxv6VKYzYwkEHVj8bZlUTmAB7ZiP43cbKeoL/KV
Rje1FMWJKxKds9KKDapIBHro15RUcs0V1A1Xeoimy74cxJUbF8iLiTvzoeBps6w6DRFMa/ZzdywS
r4+1a9tj04rpgTg/pkHPKzBc9aT9GrLR9mZNoDSP0VAWG6ulv6mtUGsag/G8aWOULDnvoY6AZApB
oirH+V0Hsj/vZ7CyKhQmFTXeo7EMm8h6u2V4FafwD7tZwCE2BY1pcGcizOXs3gU1cNenIS7IXOer
i4d3EU62qCpFmUYx7HnHo9h+XPhad8dJ3cRj3oqBT2mwmIuzKGK+SmsuhjJtwkSjE6BnkQOSttfH
wwCSSn1tmnwV7XSjgNW/jJsqvilaU+v9XLFhQ6Xuz/Eci63V07ymSw9knNIOfWCoADwJ/G634Stq
TjtIsh+9EyXbPHausmqmOjlbFseuyVQXDxLI/TEDFNBC8V1MKF+DWF5Bn6l9GLqBmTS0Dr83Cx9y
KNHohTRx905LM+dOubDzgFhuRCDVu8nBc0LULBvr4/5ktVBP68WQPUy1uzfAwkEbpHJq3fppBEtQ
iezfqlL0H/uO1Nt6ifq3vI/1cTUUvtkni6+3OiD3hto+QH1o5zlnBW19Pq4OnKOJI5rViNR5yRjN
KgBc+7Gndc6BQt5AVSqHbQ11U3vcdhZ+73U5ve6LuVw3gmosUlnOhc4sIr3MWmgN7jujmkcbjOaT
UlbqGrWqSS0fxnjrQJzRayMJHJF3tVSnZbzCVlk9vZ7iZZxflEVRXmjRi9yibn1hvRBnRBF4atLp
HUGaXU8+pmsKSKQ/YZ1SF9XsuvdA3cUbIM7oRTmAq26MbdftOi71drYLaXec8/KiabqJZx1V9AKc
qAenAu0CCd+f1K0kF1yp7sMwlcNLsg74xmmQt67qsFuDCTuhQKjRQMJpBKb5sqND94E+VpiZYWs3
5XVf6R1IVh/TpYXHRuNyiQfSn3S4kmfr5LoPPnTD20mBXFfO+48Wl0OfrqMCsfamLU5KYCN2o/Tu
Ts6OXpC1j+Z0srK8WDTVHeDdtg13a5UQsUAGnhPSpMmMi3CGIS13+SyrMouU6Pu0NKoyEKHGwqW9
Rfimw4FeaGqLVx1T5Tmjo33PSlbnflSrSuNoLXA6CQCRdEziTelFfxIGVORlNE6nQwuHJ5Ivr0RU
QVwsC32cdHB3h6LyYpQ9W1MlKCBwgwR0LJK+2Q910Rapl0Di5LqeixPVevhBMUmRluXc+LxaOzum
K/g50FjGvQkBSGvBJ3fHS0KzogjNHg/+0cpH1Y3Qc4nptW7V9JpYP/JstrDJhqL6Svihu00qxa4j
ufZN2plZXQTWGpw6Yoa3Tb8ul4K58TXqlvpKP6o7HgpxRitcXPVkgoXqKGwl5yhOAWSoC+JAaqJS
4RKVUXhAq9W7aCHUpEDaF1dxW5F9j5Q5Y8kMT7RrfQWQfXklEXRk1nki0ck6ACW+iVoVHngHNF9W
jKqwKfAtbkgNi2aTschyA5F8baNMR6y4IgpKrrQbXR/27TQxBWcHS1qjfoDQywhYGsQsddHUlcVZ
i1d7GSUVkLhTaEDXyAk17Vlihcmk8w9WRFAzTaitsr6d+4fIVvg1Kbs5n2aH79lUjWMGrte/hGix
Pti46oaMxSbU2VDR8T4W40pBZxxsv+tALAwyuduhucZDClOF+GaNm+hKegTRjLPpfulE/9IXBoj/
Pu7O/RS6d0tV9C+xF+VFwXq983IU8HaWSPYQx+SwCQL820Slf9NrbdDLIRIOYrytW7q3wYLwRMJf
QE1cbLuxGCCIsZgDb+qTERrCiXi/OuHPi7Yrd1PTTMeEtaAaSJtnyUDqMaW81JeMuG7bGeJeDd1U
pMOqHnxp4SvXdV1eTF3ygcqSbknXrFlHgs3jZDEZnRK2wyCvFDqaJK/hlbIu9UkbrnA7LJcAQubU
kKp4HTclyZrIXntJXkwcQuKCkIZaZhjyeZTVeQ/8DxrVdFK13QDL1uwCzS0+V7yFuJGs0F5HOnqx
sKi7MIEW16yI7V4ueiwh6LZrig00G3tM0Z5qfzKF0OQafPMFKufhzJTcnJTKhBSgPkBACe0/oFBv
JVX9vuZmuartlNxNDTnpNcIQ0gT8lbh+YxjussWT02WpyBvA2ygNaLEf5PzYZ7J+q4BZ3veF5dAt
UwBIp8qGN2KZyytk1LzlS3fMbNPnco50mereHot5vQX+r31Xt3zlkHNASHFESgj0UOFkPASisqqu
3b6OUJJORYQu6pZ0WzeO0PjCY5cDQp0viajRLqkqdz32EYNQJ8ur0cEiIy345YikSYGYDikUpeRW
asleM+ebY63566VC7Q7oUgU4EKBc2upgU6tn9UILIG4sjvdFsuIPChXzdhIR2vkYr7nQY5LPEzij
65RP5xqowjIEdgrggrypCN0ZutgtuBMEYFtBdVqyXu5kI+XDVI/xm6Uj+Fy2coWphZbcdGqpsgUw
7JZC7DptC9e8xpTzl2ECLdHJLf2WAy5MBz+Um3JZuvsVWk1x1pVen/cVmIE2TanTaDEdhLUuqJS0
lcuWrhoyaCCkcvVxNnIGgJ6U1W0VlvqknM2xr/umSimJzmyolpcrit94HbVbcMWtTtYKgBqlAMj4
eN4SWrxqagswg0zbGkJglXbC6yuBhjWv20ScuqAheiG1UbSp0zoZ6EXbUWszNUsMTYtm3YdgpxeM
RpB2WhHV4HDMnHTlUl00VaJs2ldrA343GChLm6gCN4Ie2vRCFr5628LLRjuKgYAHas1Cxlo7oDRG
HS2Xskj6swBkNlR1fNJ1Og5VfSJnja5gKPBkqPhyXEw+m4SrXzSg5VNnZg5R3zbQHJ19ambnz4D3
DSlz1TFeIvlWQs8U6pzbwZoxaxVds75jU1Zxo0Q6TR6/XQIZ9jbmH/DK7ovB9u8BsTbvG9daCFou
esUbGm2TaSw3no/ty8AAsTRhwND0ln7NyqVQHcCh5XiK20mfRImdST5x5PgxrzGGHEOYvYjmsi5T
E7i9APrGojQWVWmhDdBAELKYVu/btjIv4160L5kGHjnVAQJopWZ/17gYfTCuUnd9gdYuiyN4YA9T
ACd0qOx1gJeE5rcDIB7Qm4Yip1WsgSwRsWTfdAIyily6d5AtgTtbGxyPQPrDJVvo+AbwMVSmdavI
SVkv7q6trb9zowMSwYWxfaiJAVbBrb54j1yFP9RqgExvSVguXb8U7+N6gCKcFDqSWbcW7i6iXdSm
8TpJvllraq6bfoHA4NQy2y0v/WS3RM7AaIyLAvNQ8QgAx5rGXis21hQwpi3eU0zhHtktzZDzStY0
JwaBGZkk+DqfHOxyU1EYl8oNTGlxKGIWWLTSxLhTvVIPdSMyE1bZ3M263AJ4hSevkVjsnsxAP+aK
yBDtovAIATx0SIsUiil5VilETM6GFkBrUzDQUrRCqsuaZSzeT8OkVFqOWi5pUdL2IR5HWHXsk4Dz
mSTy/Sdh0ikqxzSB9qTOVodgMo3jdbEp1BN2l0haZknPXJ0BFwSiTzAx1xTmx8yu0RXQPTBZoKHA
rJf6uMPAAl3EPV3w1tOVnobB22s6w0QFqBD6rdlc9HC+mlPgQ4YO1dWpgymGadcGGPx4ISc/PUwM
uNF0jGmnXrAIq5s6TPHOjMa8abHkL2su+yLrOoFuZtW5cLwADV9ckBEOfRxPCPYIqBx2rU0BymNh
MRH0/yxtMtAJ+C5w/yrkwMuAFKfIw+9XE7s7DdWLTmGz8iy4yd3rylXNTo5DDw0M2epqh2odL1mD
wH/SGdS5Hhvg/05m7SKUgh0CoqOKdNUesQFIlAF6KxUEF00HcHUCBTckYchfWTuiok6NGGGsKl6X
tblQU4Ky/hFCNtzEPm1gNvAVrlC86RuLTqAnPRzP7Zi8bEuxnMEsk369rmp+Ncdk+tQG+zz1efmp
XfJpdvGj7cKgS/X5NfUvH/91Y6EP0v726vQfXz6+5f7Hpxe/vx7/w1/t7u3juxju8EePu/nyLNjM
5909zn1+8+G7IdT/MGb66W37/3Dxv5tBjQm8Wf0VNfzdDOrvr+X+MYL6+ZbPI6gYsyMCoxFAoEoO
Q92PY5afR1Dx4zQpAxJZQMcP3q1n0Mv4PIJK2BGMVEi4Dwh66FTHQAV/HkElGOb6JXlsxEOTFF5o
lf/LCCoMC37L80IDDpo2HFgMgFkURu8ORg1qN8IA0Cj1ZVXLBLo2MBS7QHYvAe3JoiPkJWE94Gfb
IDNsiwIGTqCjMWmW1eBH83LewxhDl3IYb0ud17VPrpRogAx4Q8UU1ShjNeDfbjL1cbkaNF/6pkd3
LepmNKfcGRhnGDC0f9N4xLaErqqKazHtrCRAhKq+OoF0gh8SqA5tKl0vPkRxDUiVifKE16RPrS1X
AIO8uaJiLnblatc8kQ3As1rbKTMJGwFzx0NbQ9LoBoifCYFkiKIPYmEqbyH9QzyW/JypSe/1ulZn
S030nk90fD9XY7whqJMsHQxTVwMXtcqdXcLlBKNCMoeSFmjCpIMTp1B3eAGTWU2XS6TUaV/U23LS
ZebLmX3Q8+RfOaiOqnMKYT53uuMX0LInMzBai9JZwwLNPFT0Ki3kIqfUIa/DNafew/hv0YW3RbAm
jZCcgARbivIa3jCAuVNnA0yYBtj+XrNCna7zsrwlGtpNwNwvaF+aZNpIVjuTof9j78yW20a2rP1E
6MA83AIkRY2WLEun7BuEhzpIDAlkJmY8fX8wff4uyx129P1fF8UwRRFADjv3XnutJaeSzimCVlWk
Uempf5G70JwrNOkZqYq8sfrW3qu9GDaHzLf4XVzPEYcA0LpOq610qzRaRL8dqqDvzSFs6OCCjevw
kSdx7cytJ7kckkYsh9IevWNvmzCVViX+HZnGpxtX1ue+9MfTXHjhIdDleBg7ET3pzV/IKkRdHNx1
6J7qUJqbtfPz1JbaebKCZD62kwxvcj9aLVKyIPw2q8Q5LGyaB8gG2469dpIToljpA590a6k7v7Cr
9d5uRztSN27tz7HKkqDt4/jIQPhkO5No1aNfa9Fdgzk7fmp7APAtwEAZks3J3r+b85qORCpaeKt1
qhz43Ae5MXpPY18wV5szRc9SteV8iKwlUa+NmSKdBl1vH1ZBByA1tuhk5i1L1B9Ct+i7m6rLTXIX
qkJ8o+W3qqxqImiHTbxK624KyqLPcg75h5423d3UDgLmazt/dkmIVFr383hcVSvX66VYRZD1ndvS
TWtCW5wB1t3uTEHfOOngrIOTzVthDWfbyOiE4Uf5WC6rs2VCTzRPOpNLdnYeRxAN1FoOB/Kwcc5U
rqbpbtvKUR+ogrysE8zmQU1ycjK7tQyIugWk/hhydPaZkaOM7pdNzg9NH9hXpo7Ggyi8YmXF+dae
pipyTSsqH6wOeshpyvNGpLD2Q3OQDUmfi9EHRfaiixvf7t9DSq+2p2S0vlpQXNhTJIpLFgfVGjwM
ndeDJGqgGToDa/fXkoPkpfE6ig/bFrvdlZ8r017xZlWkidUOw5lItD6D9pE3wbQcdFY2jRteNbZw
5+uoyj3oMsr8e7b8l2AMKcLLoN+ep9qd1HmmwdRdm5zGS6ws59bre/t+yyv3yW9n9mPuJ5U8VgXR
jI4XhMtVV1fb4sU3lRWv9SGerWW5W5y5u428vt0OXKm+iuO83zmAORgKc9WdCrVVB3fzvSdLrfZ0
8kbRHGjgu7dd2CYQ5SsrOVqlkuLgiwVwbPPLg+1BpQcwpoz6YmhJfK7swXrxTDN97O1lMkfT+T57
zV+mg1Vt3lE6oTVcm2Iv/L2x6o+hgOhwywf8MXUsZTVp4IZqLdIw3qS48XsrcGW2+hBD7RQuoT8d
ljEUmduHdpEGoSm8tJ3UdAbs8bpjPsi5GNIukKN/37VqjNO4zZsPzlp4r6DV//JZwvQ/+oUiImlt
9wxrOHoKyWwPxZCvh8Gl+I+SNrKPLWXisbGCvMioxpf3bd77D410xymVJpLO/Wy67n4btrC6inXn
/aWH5S/q0SlJh7AE6nfKvImzabKHPh2nahnvpQK92Fanfy+rjmq04/wqnuCk5cZNK79Zt/UsvWiI
AnhIVl7kN7onajxQ1Tun70nC/8+nLtrNr/+07fmPXmoXvbh7p/z/KRB+yabeiNP+mVTxez9SqjD8
L1IpL0TPgxQHciQpzSWlIsn6r8Bx8QFJPMCtcJdk/MioIgeZl3/JwP6ZTjnIJOFXQ5NF5kCh4Eb/
p3Tq5675fkWMX5IQnlgU4g/zVlTTOJVpnbkO/gazGcbk6CqfXZXZaiq31yAYVf3Ztwzd7lav/eqz
4JcAUrfV5faXojV+a2Wdu9TRDX3+daQBarX6PCey6e+bQCprBWRcgh3HH6qlO1hhCFaRFVAUnL+j
pVvH9xy+UfOZnFPlXz1JjfZQhFARvVQ6VCRN5tMHkO+EYw9zeyiawOyqgDmQ8s6JVs0tF1I6660r
vbb6t9VPezfnH1P6o5T4p+zpZ+4Eaa6NnxGKFbjXTJ9rv+FORI4sRxGK+O+cAFrp8yD9xj8TW3oT
nbceHGnOtlIh46aoKt38svUunk//y+Xf8JW4PrnzzhDy4LGGMBzeMBvoRsSEr7D8Vjm1RzLJkRJ4
4FKJa+nqZMAJDSehGAofZpZvbap9pC5eezdz/C2cvRsSqLavST21Z8DOgljzs9+P0c9ZOYIEWM74
POwcYJ+U+i37goTQcqEqWN9Cy0xQaIstKiJ9opk8IEtozRCGn+rAzoc/aJrezM1+XZ/igqacDWHO
e3tdxYkadZYXfytW1lwIDq+a/i/h525bUN2WY/muzfFMQ50jOswQ/kQ7+akY2R872oU4MbRESOXs
oZ9JJ0UwlZa9CO+bFTWR9rJghurzmY3EsdWBYTQPpeV0zr1X63V8rnvbphOEOVnDoPx+An7m2nAn
HHQ+gCKSFrRxv/DIOEJIHmFtfM2TrQ3MVaeVzGkRkzEl69Uam4VZ+f0lf6au7Q8fo6DxUaLYcIuS
t6RvEYm8qVbbfPPDmV1+Wp1wc+pTYOYRxQBsUD/8ZEZGXac9qobwU2evk0mOU0nncf7DQnDeRDIG
gDSRXcJGhfLtxW/qwiLZqiBRg/VFlBy31hkVyr4h5NIJXNnGuYKEnpWyX12VAt573FVQ2mIkGQ6r
NWstx7TPiaQJ3R500Bn3PbBi23/5/Zjt7LH/4Xb6EVxo2/dtP3AiYvgv6oNxzmPYSdvyZQGPZhHY
Y20zWPYye4GVLsabrGfl1nrfNMPc7S8lja3/62BR5VOKe2gg6PwAGbwJabF2+2Htw+5LC8pKDK+I
Xhud0NUe1uDWywPifl+Mpv4sqwC4PDPAxU5wpjdpTZBpBNF2j/xQzunOlFsz3foIGakbfj9czts1
5nxXRkK+jV1mGALgzxts8eZWJTAmvvS5G1okrkOvmvFRb0Op2mzWq+bmrEhO/KxbtezWQ1xvq/U8
K5Vf94lpaNgiMbDXW6rzdsjTNrHDfMjGwLaa96FMig34yksWQqJrVavT3thbAiCQ1WU+0+f9wwP9
LNggUoUOTMZkp2ZD7WWx/vxArMxWT6SgnwAPgypAvRcHLMU8H5PEZM4WWYT2fL1Ez2b0+dn4PZzA
ho350TIPXqhBAr0/b2j/bRR3wXsSNhLwOGjNL8sC8LOXuejUJ2XYRfro9XXs38ONh8rm9RTOOk3y
qdlepVjWNUpprM9aZAT8OXxf6C23zkbSan011tiHD1Sle4JAz0M2yVU9Bvv0dL2XsITWKQqm94pW
w/a6oRyb69Rumv3QKhl9JqhrE8GbHtjf9hrLZWHuPEoqXvrNpnt+UEFPiyeERsFv1UtRkmDo75dP
YhrKcxp3S8VXdCQP3HlptXtuMKhA1p9hlbRanZLJONOz73XbcGdop5u0aaShhLCKXC5nCo25+NhS
E/ivkz05LLIoLsgzJt12pCi/XxtvQzij/53eGu8qWXDqN0vDy9e2cBLVfNoc2UO4WcDYFaK1ruqg
mYx6JlD8/opvo5ELE9RGwbpnpZzdb6/YG7sXs/Tmj9427osRTeEe/tye8h4K5aSD8FNeeRuLcHbH
oS/uoeZGrNPf38aODv4UFeEe01Dm4EK9i8r7FxE0bR4N+1C+Sr+Vg5cO3RhYf3daaKKRAApyjqgr
uvJxgh5ExFEi6GjmxYM7AfBH0dxM6eAW+rbJ4/AZxRPQRNrPTjihzrPsMtMBrYBbFhE6iAruPk0N
H6nAvtmFzTrsJkF2cZ1X9bDv/AlN7Dt0uJFC/Vobb5mufv/Eb+MaojCgS7yXkCoDsv4imKpBvtpZ
99HLNLY2SWxgjEsSO237uoVP6/tn4cwLy3YB5uRlb+HsoS5U+5KmGJ7d/Dlfwv1NV5ebNOdSud4e
IjXtDyClZlJ9CdVurdl1+Sz3nNpZY8nujBzNNvr9I72R1EKjR4jGsUlUYwZh4r4J1dpr5dZVrfsS
D8Jjbw2q2G9gsLxx37rf9zHWLyv3lotl3+LEyj2kGPjW9WdLOKTxzhLsb3W67uvPTVJF/rmcm30c
9Dp34UOuFz5VIuvia9ZChv2ptiLjnRRSJ6/PVs4LHvcPj/Ymy+TREgfxh8NWAX8m3/s5aA9L7UTN
2K0vXjHtkWowmqW1NVvZfR3suHYhnw2d3l4jt93PR2l1kBdo6cgGmt4mQ2coTolnjfMLWaphOOao
8lh9yDmIJi1tPJaYPzdqj24jYfNcumomrA1kJFywHHKbf1FjOQyFLHyGYgB8tYYM4XTFlhCJW/Gv
y/jsobD+A4P8zR5FUI9glvML3TFOVr+kus68+SFNWOvDJKOO6HBJb10RL1OdUVmKov1TWHhzHO2X
BOwHiOVYspGBv8lS0FGRQqol+tCPMJI/D+swsKA4+xkfv1J+Fxzz2eqWPg0bb2XAmylvSVkIeozS
bJZmeIzCPs6rUz74McGADTm9N7jbcAJIi40/LC0H1Y9pK+BYMpRLE7fsFXbRPh30Z/eJoJ/u8JKs
VTLtNOSOOwnA7LfXOhz2OvX3Sw4J1c8xkYffDwGCBHJKsqC3lQ3pYG8V9rJ+EGIN6etj3uCpLJ/t
vHoIQd7MetTChAp+IALeSoAy61Lf2M3oLUEK8KatW1NIy7/PpYi8TEPTK77aZWOf53z0wwOcla75
5qOjMu9lB4L9ed6cZn7nT3RUIGpAQt7l1eSPPQD4DCj5YLTIaamG0pbOnWcbJzm0rUmcrFqG0dCg
XmK90V1uJ+MvtOjric0wbWZem3SxgsqvTonrjP5z2AyrX2T24ozzeKWSWTiQYde8GK4HQbOjyaKt
mbeNspalqK6Xes1pi/SqCk+0uAvvEEhr2T6gT3HL19Fvivzg+YPrZCv1aQcToRj6BB6XCxsGb4Hi
jMJpOMDTm7fbHCTPvnJmR7gnfA1iYR9V3Un/ZQ2morZeks5elg/LsHjDvdUPrfWeEyMavyH1Cs3L
Fk0F2lrVdY7onxL6nvVVXoJunLbOjyVdn7rzXJFFZtvbP46s4vabcFU3LQeWyqr/TsZhnu2sbuCH
VWeYXDqID9QBQRNe5dKqwwe6c1ZdX02hcvtG/C3i1hsY5cXxYuPfwx+eWNKbY6DQPHmhPYTAj62v
VHQ9Jnkpmjs4NLUujtVUDPN0NwNKluUp9+U8Bu/z1vX0dVhBXY9PrJUQrrGaNptjvenjck7SwqKH
NhxEbrZqvZ6L3hLl1VwiVOjQfs8+AXZS5Rj81VljGPTXLI7ZyrPZI21xHkZF1gWouXp0rN41yFF4
GS5vWmXZ8DNIrD6X27re11+2UScupK3QqMLd6SNWFGVrFdQj4uUWfQQgrz/t56IN/ZHHKbyAQ+Xz
kq80G7MqEDT3361wDlT0WOVWNTenqPYsV13XI92V6V1YeUGZpDpJdkwiMkMg6tcIIqy13fp+gznB
EbEXIfueqK1FcGt5uYmaO6fUpdM8VtVcxflxrggEBZRtx+PeCVn7La2T1dDftguxlvpgq7oysCMG
2wrav9zCbbmerOAuvYwQiDEmoA5mZOH8lZwgmROK/Uu4f1KWVIP4U6T7sJX3wkA4NANPMFH2EfOa
oeal68VgPbcy2kO+Pw1FHGXQyDoWAN1/egSQiSWfU5dHFdAXGD5dQc6NOEv6nKs1wqHIpEm0T4+j
fOEG/3KaZR/nluYAWJI1WoapsBC/CP9vrSloNPrgkkwrm2MHXjAGBCIYLWbQH/X4OlQoolvGyxJb
dyXGzXeW+7iK9lsumWm1PYesLK7g8SP9JbeWfYGFxtpnPlgt3msSuQ/NNGE2CgkJduzMPUy4uvKM
P57HGM/TXwDcBO8Fi+rC5zrw88TL/DkBAEpVJBzG4sfqybc+4SujytofLh/W74OBmI35+5HjJvA7
9n95fVDfIy0w1vOPobYuH//PIF8+B1Lg1veRqyQ34LSWmL7UZahKc1VCkuGhNUwIrlW4XlHazxTg
RZekwWWium0aWGpU3qMprpHxrHmQOjUCS1rXcuwYJbhMDR9x6RVyV8AccHnT2l73pLeQaEbZo1Fh
6y/JZQQ7xQ4irl2eSbiIHvD/6FCuOOcV6SS/Zl+m9rI8wrym73YM/ZLfOAZwrPjGJVwF67RwzH4Z
4YuQN9dO25F4gRXjj8MNT+rtw3tZSNu44mVw5CH3b3FK0/N7mCB4rK5+EPutXwbU2uaNf3SN1/kR
aqWgravrDSuDRV0VO6JlH+dyhKR2B696Rz76mfnFSMDVX5ywaFk+yHbk/vBmItl914Nl71/oTvuL
PxUxL01r79tBbsF+/+0YIsp/GZsCVh89RLr6z0J7TuGd636NnOEWluO+VmDGJEN09WPIk2oy3A4e
JTVfwgnQcfFKlTXn/OToLbRfyNyqeDoobQ1tmdl9kXPxoBKYdx6GRoFtIhrZkRumSYzXUVfs23nk
fOW9eh3DKj7VJIvLeoNbVrN058HvdqJSk/iNnNK8p/V5Dc9+5PNi0D0vJI1B8yD1yP9XCYnqU2DP
DlCRBstvHqZ6yAEFZlNxdUcU3fQaIpKhCsjXbV/7M+I8QOLFg1LQpLERzRgfG8kRK4+LhX9Qfx0k
HFXLRztcKuJN0SDsqs8/4GSMAYRBHyYa6t2vq9/j+39WlWA4rrzve0Z3ccOA9flc59urJ/CeGV60
N4s5PMN33h99SYqeIfLUstU8UY0wJTiGG919CAQGzVd7cBa1rxrwqn2JX/BT6IaI6FJndPfnHcrS
5cWwwPm8LoFCrbRsNnDlxHfrNkmBLNZQ3nvKgQJ5CFdnr2FhRfSsqwvIsjlBY/LT2GqTu9dFrhH/
pNsFesuxxAE11IFfg5fmMNdCqIHUTm02QBakDpV1uO+nwZ9LQPiihhE/HLwwh5P40K9EmupErbcP
3lh6O1QAx64Gi6+atuDXzYqbhPo4k57l1s2c98aUDzBYdpCyGznu7hHue+Hw5ANjrflxyStrFadw
VkHTH4AuHJRkESBQ+MkvYOBoVNhzwuRvFmKK/BTSYWdAZZDvY25c47D4LiNZDR1ItFfapTfdzBty
SPhn2zhbz4ZkGlRhUzoJPxFvWV/WrDZGoPLt/Rly1aIuO1Fe7ihVgzvGjgUkspvVpzBZhXa+YPkR
Ng9hqNWan3y36wfr31glVEt+5ETzmiDtG/BvK4sbJzKvIJJoMD/g+VQVxW6i44nl/RyR2+hvyVRO
2v3Y5zHQBH35cZJJZrlbX79u/uj6EDc5HRaKfcfpyCmjKEhGZ2SVyypxs4k3LXjt0Uxnajn8eJLL
XGpVARBnQeCt+2N9DzdQ2ff4l6zFHk3I/vfNi3xr/0T7Hb2nb76/R+vf4hMrNl+85B7ohDxSue+9
jbLJFVu5IFvMH7ZhddSxYqPuuzKR+09+LFlySiJRAjWZH13w8D2cWkVmltV4Ueq4xo4fR4HAsktn
G/rqJ3+FtONez7rdd3lhbTsc2NMn4sUnLRuu9Wazvn2b/sMDuOV+53VJp/HTjwsFJuFI0ywV6/lS
sbVltUU1EkM1+k/1JWDVF6BRx84ORlvYoez3aELjQx4ppMacRehwtJ5HtHY88zDTxZtuSrfY0zjh
L1wjmpr9tsbvG87qas6RNA/GfZMrd28zHtp52ddklG9QouAY9q2UR1E17MbTZUDAgfegV2Mozvf6
vWNVt8L1GsR+vy+v3hT0YDnEB1awS3ALnV9gZTHQQwCvdp9F14XcdVQUC7thp1ciI/D3HdRMAC8C
lare7/33l98L1390AfbLh3vjxL78qYG38Duy486a+wio6hIaKzBg7oI6gJ30+0u9AdDZTRDybK4F
ZMX/w72s/4eJzBzXOs5JJf+zRux6gVSuVe4jx0roWRGRQ7FP6lhWzDAyZZ8p+xEcf38vP0MIOA+y
fnaDoHj30mCduz/fSz55sKXYes8JXbXwUxk4ez7e9/zBhePWkTr/aZx/vSAedgAHYYzHG3P9BlGF
NW3jw2ejP1paDoqi5sS/jtaaMPdjZ//+Ad8a3vCEYLdYZjkuZjO0o95ccGkqv2iHJnz/I2LMYttB
+zX01iA4LX4fT6dK5Zt5GmdvrQ5ybPd47hlCg9VvPufRH+7o55XOmFNK7X4aXpTgeEGr7ucxXxPb
mqPV0++by6aayevY48tYoxQ6lfFUMgXCH1d2ZoJymDvQFsRjJJDK0+OWTZrK/hRIrws4ygktmCRp
pfk4+yN3HsrVo57M5ks/S13C7O8f4u00MnE+zqb4EALJOr+4OnLu6gEO4vSAUcYemWBuMYOqD9rx
abXi0f+DQ8j/dr1gd9nb/8N14s2YRYhEmGB7fPhx7C0FxM7U7oisXWqQx/yfoDWcTpx4d5FkY/Dn
KzDueYNzeXMOEj2V1cPlWCJJ3mcjqhv2RdsjBv6Tpc3P8Qd8FocLFupOSqFty79/XhTzui2l2YL6
HEGOq4MskjLyPoWGDfOnLfjrpZi63aow9qn0kc/9fCmZu3Idi7A4X1KRCacvYs3iasnL75fJGzM0
vh2GRkIzfv8jIEmIW8bP12rtQeTVopKvNhz0/2wrN6z3VNF4ci8n53iCrm5L37jIpkxDpyNtSEX7
bPCQDr9Us00Q/MN9XSgi/xPwMe9zGYIE4s53wsAvpiK2Tb8oKkV/ZTbXFv3RDZadJTHiOzR2/+63
lkZ71vWo4PokhclKFZsOQTE4KOoTCWkUUlmtQKTuXB9MxH6UeYCW9bySswTdQ76UtbOsWe7SCvvY
ay0pzww+Eq0+ymbc3CGzOzvs5SE2ARDgnYdbnBc+Jpc+I16Yk+W9y1vp6OW+LsSUQOUZp7B0wGoq
KCRnCqColJAiK8iKhx+JU2TxawIZy7wvUSqHmEMs/B5eLyVQ/X00ZyFdjhRK1j09mSfXItHu3Jj6
pd3FHM+kfuEYPXh9syeZ1iXnUjRtmTdbxQ4S+7ofUGKmbW+SFpm+ippqRG12gWI0x7nAxeR7gvU9
s6PjNzO+m4735CLSE4gXNU8dukfcMbmkrKl2phubLgqM52aRPXUefYamal480vHEewhXhIbqugox
kACk6Cf8Q7L1Uh8m89p7+iDqUQIHgwxFdD+wQRjiLs8s/ENnW6YaKn3gPiY6UdF8LHToB/pDsGJi
3H2gD7J32shNbTd8wO2C5saHUoGCFwfWOTSHkzDacSoEqCTD/14pifv4JgiX2f3kBMs6QPOTc66e
2gTbJPdYtcg3qNAJaMuQ4RtNjx+N9srcHubF3U1JbQvEZMpIGZ0ghiS55vNdjYQVjR1t8rmkyk9i
Q7+2FLhd+XYzzF9CW9arOOSQVNs2lVErzV8tiJA1pvGlFfgjRmr69EV4F0vOk+qEQD1E8PQj/wOQ
3/PXtR32w/CyNJrvWWobYSFGpp/A1FHpZOwQK0vTF13Ebbg1HkNzbU3JBw6XLn5WbWI1J1liMJQK
BM7PwVoG1QGHhfyq9CfvXNredo1qdDqDsHTvIxNiWItA8yEqhwZpij+ZDzmL+uwXEJ5Tdp/4UhnV
/FXYZXdYEgdHsbjxcIUFgc1mtw1uY2V/6mq2Yzur8C6cS3WIfCGYXdsyJ7Rx/rHqyvHdVjX4N1Et
DMd4hejKig3lV6HGZxdd7a3xreJWTv1wDHqgcQgyxXnqxuQgkjl+ipTQ8A1U+a3s8aRohCqQ1rXt
IcgTfRNvrjxh/EB3ulUBivQ6XluM59roNPOV1zF14hdUfeMVfIz8m04wzagXp8G7NKmCk6js7lnh
l7ylDdBRnyKVK17mZYs/N1aL9Msb5Yc5dsuj7Q42hGYcX9IOO9k7H/jwZIYed4sqyp8ANUt4VIOX
fHNoQVFnOcp5P7mVKE9YwFhHp5fD+37yAUIIBYd+XcYbrzdrnQZyjjMMU3IR/1VObrJew4wYv/au
XznHblRY9RTIztd0QvPxdzwEkTxYuWVuZAJN4uA7Q/W0TF5N/Sa726AfMCLJY9F9tqte3S2Rb9/2
obOv0HyX8fvFNN8spNn3dlRP16Dy1k2Jo597iIl+35x59toU9jVecQN8x4+z0vPf2rKWzC2d7TMW
Mp0L00FBa9y2npUrGrShMLkMZkDbXC834YhncWo7qnxYnYhATKmXTbPXeDcYijfqxizanFw1urdB
I5cUBPo1mNeveAznD77D9pn6cTgAedrYHS9yig7B2nlHPxraByV883FVC7miTdu9gA9cw81A11sW
gUqt0fM/0zHvUs9tYI4DYKSuLYenBdfmp14g1svqYShetFj1X2ZR0k31Mi4ZjpKqSivuj05wDBbI
xlvElvlLPD8mbi/Qlm0TtGyptpTmk3zlTzfpVKnJeUpoblwr18TZiGfBjV+2/uc+Dpe7ij7ERDvE
H7loPqT5aGkq5bG4C2MLL+fGqZPPxiLZOsTkjShmq14/hnNYnwj0uIsl5RadB6cTj/CH4JzMwry4
kLGxWV6cq0pN4Wc8kF5m6veXTcstvtKox9NKy+LvlQG5EghExyPp6fqMF3CAgsHXdJJrmN22mNDq
J7W60uTHTlpEffKS4Er1xVuU9wEHj+7LtOGpN7LAUY927r0P4QGNXOge9KKHZ/JeCzldO91ZWCh9
2uyuvfIaHCGyFpj7AUtgn7NsISLZVRmDU+FYcY5oGGWqb6urOhjNC5wzj/uf3BsMerxTFXr9R/BC
/Zi0AofItUmepTTbbdFXGOpEhFzKc1k+tL493JjRnx9bXJI+GOy9vnr1RHBw9To9+Ktk84C1vXO8
YbxdTDRfl/OCu0w3xu1Vjkj/QNkO8xM4JrneLJPf5bkwT5sbi5cYSOej3mL8ZwpRnNls0f3mWAPc
qrA8NUke3NF5d7xskBg2xzh0eKx3054QaHSPNa2Bx2LplM5grNgnM1f6oxpGv6Do37Y7/NfHWwhU
CFws2X0ovC2RxGy5HL2ojs8OvchsQhTwLp4Kj46Bsb5ZuQs37m4NsJJNslUu5OB4pAC1x3d14E3R
cLT5w6ENusJE5XezpYpH0B+8V/21fW0G85nfKQCgS+e1l2Qw1RhVD0tSQQvFIai8STrlfhqtHMVI
I2Ybj71ofCndadJXwm08P0uEE936eWfiU2LLNrmRIlYH+stYMk304Q94IssIYdGA3El6efvQWfAQ
bvGmihjr0J4Hc6eTiQaUsxhnvm59Ld95i289RW1SqixcjOiOIlHmfVWUkzzSil7FrSzrrjxYpg1g
aua5Y11FU99v79cYg35xtace9iHRC38Ip2bUOjTNNzVYgWkyJyJzydAv5NM9KA7CKG90ig9ztHVr
1tlNeAeNMEco65Ai3g4ABMNrUFKVGuKIUUOA/YVdYA2Rn6chjG7Qetlt9WHz1tzFBGjRdjLe8Nce
tH0d45i1XukGs6+DmPpgfE6soq5gBhVNYlKDAKGpM8tPlufSg82TusJvnrrVsbarmQIY729sc+w7
PFSwfXAN/YX7qCGcHiDuoTMBcbup3AELMSeqbwZrXXqU7asVJhsOBrLFpe4AfiTrnT2m3EC+Gwa/
iofDGlZhg9577Dv2Q0zbNRud1ZVH3xkbcVcLusapbIGfs21YNPYicqUhFY1VfcZcLOiOxRzM93UJ
fHuolnI5e4XvxIcwtgUS6rAyznVdGEWbdAyiNXVnuvLh4A4PCL2WKJNV7vPHL3xE+9kKlvjqKMt8
mxJSE88o7K66Lne8YzEJd3QzUjhhdRmcAShySApF+H61/C4iMRvjtWwyIunABzrbKpfyK0FIx+FR
KHyxg0I7mCjj+eBE4qjcpQuCe8eawvGFJrPMz5WO/c/FNH1CVlu8FEJ9KhIVVCllgnye4Zwc8zg3
VzaHh02QCA1tuWi7bVa3eTBeOZ4mYRCUa4U+LYI+qlIpA/ls2iY8GINV7xiXPvF1GuTXoci3U9Rh
vKrR4t/T+YztzFn6WR82Dhv/MemFhxzQGIMjGBgU64EFk8LTm785naqflEbbduzxDbrru7bDgqIf
MHdb8KS8Bs0usJyUS3ItuwpZV6ubU63z4LmtbeeYDKK7rXO8+Nx68W9dRTO1K3qa6gll0cF18+lz
O0YjyibXxRo24hA+oETU/VE5IUq1Op6Ha2XmHJHm/N/sndly5Ea2ZX+lfwBlmIdXIGYGg2SQySTz
BUYmU5gBh2Ny4OvvgjLVpcxbpTJ1v7RZ3xeZZCIZEQjA/fg5e6+NmbktEjw0bjeKMDAqbE4NQs3h
2Ll8uO1M8/1xiQn+jJnHtytKeNxIHkpo0nMhL+zybP6ZW8ALyakveAvxlV0HpJwXuNFQi/Q5zxLj
Cx1BtUNMFGD3CqqdJ7z8XgMtE+EVTF/0uvpU5ijUEg5uOw/o7GszmX0TwuhrXi09lqfBtGJs8FLl
PqawwT6Bq+NDJzqd90yNEYdw6y7nWHIaYQl+LVLL+1LEifECMnc6j0yUN45om6NFK/uZoYCJ4StY
lAgB3LS3LhEd1K0sjutNaH+1IVPAKqmrdddWZvfewPHItsAQGdDS5G7cY+3UWRN1MlM9M7CloYnp
TbkRWSXrSOhqWe7clqIz3/GJgsk3S95DiH0w9aOCvwvZCSgbXkjhHCuwiN6GI/wIRUFj+z7Bw+o/
C05taVQIy9K/sPFOEAk1f8LB1Rfuphe5dshax/y06hl2BqS1AYIDgBfQG/n7MJJ6wIqkqV0zxKi0
mtixzowU5Y2YEbtgG6akOatuEO+F2atsRfJR2GZjqb72AN7knoeSc9oA9cH+GJmmjSGTwnFb56N1
onkO9HTK1EIxj5z1m420Nd5VXtrf2KDXOMtSjvSbMm41Z6u1FVpkfRmd574ry1dPjCoqOqvblLrW
6pdh8oxHpn5+gFqJGi50+ykt9xNF1YnVr562qk1xQbYqoPREXaI1FyudQMQOEDyAvFW6I7YS63IS
opThJorstEpzuxjx9bqMeKpiZcL0MUAgjrFgK0BdmNTUVh0vL3U31MWd2RhTt+FUERcsaQFxGCKS
xpCU817Tzby279zBiv2wMNrMeiuhtWp1NIJ4yOMdg7xC6bdF2rhNEHHaVjbA7SWtOlhkbLjOvEmZ
q/llOKAyt+dNDRmyKm5mHySaHnUDBzBxX450rUhcQH4eDDs5iDZ7SRLonslm4lFhvINLyMJBOoKS
czFVUqvVxyEdtOq3ru3U6GxTdFlVvXVaZoCPsW4yE9oLBFwYk+Vsa3p+nw+i4HuwNWRcQ47CmtnE
iPyej/+t0gLsfFJ0eT1v4HIq58WRjpk+fm8ia2IdhPQlmOZHzTRiJW7wv6+SAnQM63yG53DxPhI7
1pW7R++98Ly1Rhdkr4OYUg1YqE8DTuNkG+eTyxbBctw/DykNBf/cU1Cqi54H+mxHQ9INbbFfmLrx
bbHl4QJ8twAujNWGoI1hrm+sgY+3hITRm2YXIcaxqvjR6h2RwYVEQJtZJ30Y2rlBH5X11DicHZJ2
B3ciZz3W+mZToI66NRGZUbqLgBVzDkBF9r69z3qvmmdBd3ikw5tFSL0G8JTbpFZ2Vm4F+SkNVEZZ
N/55ofTztzGu3pjp3BgHwMSI9wnsrTcvlr1nHlk9C38oP2mofvrQbDDFhfbAs7NFBVN96HVBlYUq
P5XFtnG7ACizRD+jwsVsGYou7jD/rv4/BfDx7h1Uuwf609m50WMrKkx3uM2Nea62wqoQkY0BA2qh
lY95oCbviC8SsolVixmMaT0V9V72OupK5YsJEqk+Fh8CjFHB0rryNGDNAIDurWW+dpk2KQoErdxS
gXJCJNPHcfYA4ftqE1e+eofrpmYRGsnUGle/yApnM2V1/VXqDNbDLh85GtSLNnIakbmRbiknZHcY
UqcYPxINRL8WUVGbdbQUabLDPwataVcNho9oyGyDlQpkQ3e0QQwejK7xXksYUzQsvdiEkkhDMXM4
oXpzd6lAww8bU3eG/gVJBnKOUArUfxFak3akQDJM9E40ty4JJ+8qtFvq8FvFIFBBEyy8rVe45UnD
8o3EfnAwfaD5ExWSEnMeuo1fOwGjMq1P9/gp+GI8lWihhebv0IqyzaOBhtn7gpCCeyMOHgZNb/ic
i4BRKdT9zJe9sYPYD7Y5mo9vGqIqmoe5SM4ay3D3hcPllD54OXZZqi7SWw5UMO5J4ubN3lkirXlv
jXZ+JRgkvkW+mXwk0uDKA8NSyOjigc4IJnC4UZk+ffKVM9xPskz5CNjrmFp7VcNq6lWYKAonuBq0
D71NkDfT0aBpQe4Lmp3Pk4VfOXKKzj5AHYPpNknnEfx8s+vNWn9xZWcQ9oI+EqbggnOgW+YQX9Z8
wetpZhtz6EimCcsa4X6QjcF4TFyJag4nNTLVJJ4UbxfgAJINTsORqL3Z3DG5Yv4LViPrNslojSy9
sHHowvQw78EZJF1LUQAx9tYaxHBOoCn7G91JhLdDoCGeJuX1qKH7mk+JSsH7AmrYT8KKAvyu1daK
t/Ntvw6pqecsdIs4QCZTtFkKm9fPUYTRLrlfKjoA4eIK4W6LEeHfxtKrbLu0it9JHGR+yFkquGGW
+G3q0pqIn05FU+/Mrx6rxXij+lqKTdmOMFJhxQy8nOO0HAgyukCV2dxaZWze+GlZeMiXYlCZ0ogD
WI+p+T6XWXFSmuju0RDmEdo08w23zlAz//CCOcLgjv/Zm+xs3gzTnHdhKf0+3g5p5pesv9Iqb3LD
nJ1d707OM9guoS50rgqLZkBTEciElXqFgSZzWCEQuTQoX/StNzkzh4LAxG0B48mpcJznoHocJaeI
fZOqjvp8k1qy9dfr5t5N1kQb2jKb+OKXFSZu1B9JOA7lqwW56kXCYQ1TEq+vHkpPBFzJyC1fytdE
mzCgF53SIo3K41YO2I46+i6QHgftKHMe6hXz7N31Q9+ceqfFgyK94kxfwDtose4/0zHOPG6DxH0X
JuZ4taIHRjmbx6IDZBrloz+t1ZpeIempafF4XecfOnIs3M0SaBROFQwl8GrmWF5x8WYbSXNrI7nV
bYjYzrClfDFu6rkBZZVPxksKROAFepgRim7QsXQ6xbbyy/g35M76xnbs/pNPub837Nh4b1DGv+j8
igNJjQuHFeEFL5B/qxAf7MXY89T5wxvC6f5eDPoch34PNZPnYLkPEg1/vTSgiLIfyJpjRmdtfA/R
DL99nlpTfs5pdmx8xUGlJb0QjiyYg2fNL+3HPIWBFEH/1o5C1AYjOhSghWV9nQe6/3JbCPpB8p0N
qqhAO/r4bLwXTrRNJa7S7hrbuesBQ7PKQ9pYNVOyxZeNeEHNedUya2AQ2tzZMxKfeT+ZeEjMjdXo
qk+h8KZVvhwRmM/9pzhTk/PVqe2mOOSNX/V2FIMi77WNPzr2JFm8ClQ2zNrQbeSBkbn6BkGgsVA2
+vqcRbJwpa6Ow6zoYoauqWAlAm3wv7g1VAjIhAIYYsk65qS6A92iRj+x0WY3SRDakLMyIpOmjEft
NePR5qFBXm87SFRT0XzTibhZgR609T00iGKai5UGkiUFKiaRxKu4nXuwZQyS5Mmitw+j5fccYTJL
uVI+N9BqxnzDgNjn3IeVKVP5Jc+bbmg23eQScrDVhTV07ftQLKMxh/yVNVBnamxKsnARKSvDAfqE
A7OHjvX6SWw30YNynyYKBMnnQUsWE8507Bf8PzT6nqtuAFtxYL7J5y4uXYCPAdyX3V+P536ekDM1
RAGiMzpcnbwMYH9F49Mq83sd98K3qhGrt2n8rnGxnFoyKO+81B6QpI26Iv4nzXJGdP/hDfw8bl7f
AEIBzLsw7ZkSMhT6eWyZOTPeqCTzPorvbwCU2Ko8qQqgh5TdDXOx75PSv0Vz+HdQqz8zrf6vEFr/
D9KxUMCsPKm/4Dn0b+mf8Q8/fuEPNpZO1LGjA8DSXcMxeXr+ADlohmH/Q3fxoCPs+B2OxV32BxvL
JB/ZYMa/RrYyqv09stUjslVfNQ34gD1/BTz8gf36QQT4y1zWX4bsAH8Djr8WQhdcSoH7q+ykYUlM
m9mfb7HKaksR+ZOY513lTsFzVYF+BddeoORIEnHTOcBzKZSzvcpcirIWJpvEG0IPpVGci/CiVZmh
rimo4Hu2yk63wqZU61MJHlQfxuVQVa4dT1fNg0lHqy0Y/cD+hDEEudthYNSL+WIaqVj0MtYQNuP+
PDUyl10Q4XVp/N8s4c3ZcJjWbgj1kTdAPjnGntLyE9EO7fjIvEG3H7Freoxr0adz5MjZJ264lrYF
4ylWkc7LUhMJ3UUXjfMvBMw391d2nAqvd5kBq61Smv5slNFUu/FTTTX0tIBOgLJNUlq5DNo7g+kM
ALEt0UxzUH6gn3bplWyPC0yjXdrEw1tgMJ+RuGLzkAwGepM6+IqASIMS4T2ERbM+MXDOAOCGYMng
TuPsGNsb01sgI0d57atLmhSjdoTDOM2botCS+VGbjWHRNzrd0wRXhnCA7ZqZSof9GOtN3x4MnQU5
g6lajG2hrm6JMP1WAI+q+RaQgUO8/O4I/1srwv+PvDy8fKtR8d+vCMeypFzLuj+vCj9+6Y/QZu8f
bB6s2wYuQVoi6/r9g5gXGESnEzxmkUEXIGtf85z/uSpAyuSQi96HnQe10T8XB3gx+EDInglcspB0
1/w7iwM7OPvHn8QnbGtkQgerFIyTEjqwdQP8kwQwczNMXkaXnlRreFk4icZhCAdyV7Se1tHkN+zN
eip8FEUL2XvN1IkjffQdEqY6bI0HSUc0jvymdE/L4tnxthybVQmt6+qBfkJl740cztlDgXvkc4tw
1WFKYdFQndm0Geub3Xgup8pHQIwiwARUpi82GQKDi+7f9Tht8nQfF2Pp7bDOm2C7oHyS2xENcRpZ
U0M4Qwfii3OW1r4H+ex99TnWbXrK6y2lCrNc2uM95k8fbOCGg7htngOzh3wXVO7thEIyrMbh2kHi
33kd4WHhXI46rVDXyB5Fns8PKtX7C56XCtISIOAtaBoNgLK/zvVqR0+o/nNxLR0xgqqe2i1Q8PkA
Ji84mUJmNwABWU5NCUa9yZqdUzsuBpMUmmw/mQXYNwcmsN175ucyQNOQ4fZ5NExyX4LU/pIA8L5z
mhkv3WJZ94OZy+PYwNpJDfM+dSnRyTzAPTFnbqhoadxbnoaau56ujj4x+ylLlP24JNOv8KzF3ibG
OZKQTG+MqqIh7aqWUwLkFNz6WXLbIT24TGmNQqEfluGsT9vWbJAQCVn9lmOr2I3Eoe46B9BhIr3u
arrBVyeOm40Rg3V2tRSJT8c/gPp+DmwNuYZX1ZEoHVrO8B88DlmPLPbW1VKBumGtn+6zjnJSFGgt
iEt+cxp32iyJuinXjiDzUTYM8ilCvIzaw9io6rGURRXVRdldTKtIo54rEsVB8YBKhZmLKoYo44n9
VKglDu3OVJcZ0fZGKMfcGg7vVMO1v9HHOHlafA9WbIkWZmAxbgL+bJ5LKlUBGS1t9dOsDx8lP3+X
YCJ88MYaRC6wwuDqUQU++Cb9XsT1eRyu2TIXW7N6WBmjti8wiOwXbaivTOhNhiVDfwbZZ9/MTKKE
tOydwW1/2xDo/TpKGhhbre8BlOWpsSFFomxDi17Gpi2KaT/kcbLT2uHGxRaCId29HceuBRrs1gxX
Gj+P/FxpB6tGkowfBj694iwYDjF+X3fpnzVEMUAOr2Rk6buYCeYIKrdr65d5GvJ7Dq93Wg8Ue5YY
Ikv7arR6ua198bUTnneELPaMBJ8sRDowFYq4HXjYfo6qDOUCjuSoXr+p+YMJIdwlgwjFZdA/20PA
2XgO4oOYRu128oNgGw8i2WCuf2Ux7O5MUamd1tH7KIvEOc504J5tV5tImuEYUsWEP2qWyWOlnTyy
gkPASa9A3dvt4FVyD0zHPObdCczHua84O7Y9apaakXjcZZwbAoaXdkVsMCy7aRLZrkCDxYk9765+
bJUPwneSI8mHdMWXwjoiElYPlSqXfd0X5A8JIfdLodxbW44Asa3pSF84LpiSdtPDZNONNWYNRhz8
vsk20poHDKvipD/WuWaXwaY1pJnfo5+yqjOa8Usl/XeKMFwt7hI85RZNU6LHi5XLGN/Plp/doXZ/
w6FpHznYk0iRGW+uGB3UNBwQv3SSj0yIh9igRTJvkrKudjoDTrIfkpLZkF2SiJKW9zPLbpgq1ruy
ASYXefX8ZQGFCt+d9XkcuAezWc1fglmBcK8yvX0k0+Cx1l3qIwaEdxAnSakeg3IQ94kTG0eLjjTp
jfi+RVg6o07fL2+O9MYJUcgQMkP/q4Nrn3u/CayzUWKCRJ7gpYL893FHhprb+6FgWIfszc7I7kOn
ODhI8+g/a4xjCFHxzR71Ugq1msWdbCg1PKdwPgz7MIOKXCcb6cDeorVfCy3HuZvaOUlcKp1M966Q
iPXCHFvxoRj8fDkrW7oPig370ZIxj0gxcesdZT86Lx0+tFO6VHMX9oQcvffc/VlkYFRLI0OLPTuc
kA1eW7KdTHR3ujw1JqHe7Uy3tQ/yGglE2x8ZjCR3mKTKR1A3NOUQZnv7tIi5cYNlSl9Ja+u2I83T
gwGSGGwZbKSQxBw6hcnc23hTJfRNzxZE2ywTgeKj8Hk+rHFkbqEW7UGwtP9Gr5vZIbX8dNsz6b+f
0cPqGw/IswwXo0bgkZMRokKCNIfP9Lfbt1bq2St7MrBPCMq3nbVUdzHuld+gTw00I8vYukIeGD9r
RblcKt07eoZbfqsqy/1wMHJnYZbSLqfBPpbbhLipo0O/oGK1jTrqh3kz01Cr0DxxFQlkTf3nYZyd
c+l25QcTyjw+VQMThhCv4/QQt7b7zD4SbJmpJ7thnk0Gpp4nYjLPcaEdGQeqr0WWBTaLURI/kzo2
3hObSQusmlPtPsvdjphnq5KvJBoVF6sUCV00TPpeZAbVcgyYe3zYfVtc6c8/ll05wYVZ6vhYGAUq
gCLlYWU42N4trQVGu5s6gB8mAVfVdoZwcyuYYb6it5q+oRJrv/g22P1ay5EpaEmQEP/dztpJGvl4
TwgaMG1UatpXW58JuQefD62CgIzDAOpUHjxsRF+CRNVIJpd4OAqjt6ZNnuXtTCO4yj+3zMQBejZW
f83ttQmtKau9uL0ojzxzALcHUxczekuYtLxz4Jie1F/joI/tbZ3hx9jgx3X2Q2lnV+Ym+p5Gt4e6
aKiZ9fl2vmd5zn08SCNU1sL0zvPUtycDDwu9KRtq60hvvsS6Fa5qioiBgr1tdTqvJNYgN0wJAwqN
TjwYQ9dvOscJzqU2DmR8xGR6Ki8Xx86zabpVZS1fC5n3XpglQ2dEcHWalwJeVr3tAbcjBAMt8o1Y
Oes21iexgd38bidp8MlL6+qN8Xuzs9K1j8kSH1f0nYpGi8iBY0VEsKofM+g3t8Fie19GR5YHkQLu
jMzEWaBnWLP17k0yvemRSjwz3qf77VeWssNWjl1YN2BigYbzrxjXEBAReDAzbInbEZ1oarzRaSfS
oXZQPNhx/+AEPYOTHILO67BQQG4TfRq4l/QO3WrtGR9Ba7aoISo30U5+k8cvBHHVn2bQEt3OqlN1
M3TDvB9zutObRaIoQSBfHPOkuNeXIXtpa++SzOOmSauRYARtO/mkstcohh/sPmCW66HjTXA0Zxug
ZOYdwQAAl7G77FuXwiJ05Gi/EzEPkM5uRPJc2wxw1pE6STyGZhlzZHSZTupFkly63ly2EwmOR5Mu
8R6TSL9ZhFXuBl0fzoaWbt1BVt/S3KRPha/XI0EwkziXupoYY7eXnxLHi99du4l3Y6Pj9ufbXLqI
tuhwm5qqOCaUWWR6xQ6Cj0wmhHoxb80/BIKJOpTrP4SWliwt1nTbkIL4uYxV+ZQxq9vrmQPzyYiH
sxRIrbjBXf8GgnYQJTo1InhV5Ktk/+1q2Q4HPwvoC9RmUrxg+iHfJo0njvFp5tDLF8J0t228LDeF
ZojTBA//zCcskbxn2dd4yXqkv9BxK9Ey0A6s+tiWgCDMYvksZjUNkWEa8i2xWu+ecbj2jZO7/J9T
8ndk6XcK6ttHldWbrCNi52v/5wOvaXIW/atT8uXbu3yDyPMvfunHKTlw/mFBLWIqgLIXy8n6936c
kmnm0FZDAMpBeZ100Sb745Bs0SbDPoRhbE31dFZHx48OGqfcv9Exw47186GYczcnc+jXARhDF2fU
L74UcMIaQ4h0PFvVQivpdikk/AR6XHabz/WZOCZ7FtUxG2P4G4PG2ZXJ7vTk+NI9duRyPJYVjXDC
uCzzlo3EJeyqc88KGyqReKVGWgg6mpE9Tmo7lG3Di91V1UX6qOM3CKCHXdD72cVUPsNrh8DdEAQH
3S6YIugIHOvSY/dHMU2SKbt+hd5Sr+/BhgzXoHZpsWVzUjxLInxOtib9AemCW7/o7RQ/D3qqoff1
mwC0ql9dpdk/uzDxjuzzao9yLLl3wWFdccbJq0qseGdxCL9bSODcapPVnwoRsIswD45G11BbUii8
juZXWz7hEFRvnle1ZBw2cRIylFf3bcvUDpZN+rmtigGEdpOzNSSjuQtSz0AA1qZXR7n5dtSpBeDB
1+osk8k8+233qSqzPgkNGhgSnIVlRrollicGf0WkG+qdvqXswnUgetC1MTu3WZ0TOQH47QszoIlj
Ad8hwTp5dUESlO4YTS8neoCkv6SzlWzKEUxDDsbCDwGDZPdmQECNViZ3JKblOy9XZCKmwJM7gg0O
Oh26s0rr4QwLMrukRuX6YV9N8yPRlAO5f0ER9W5h3sHS7A6z2da3VDTTmSD5+YAZwnrLAcmdmOz0
yOrMkoSMQiu2tSnQ8sjU9I+VYMVdOH/taMRoG0jT9YPW69YjMJz+1QrM8rfZ7PQncxzwuBSqvqs6
R8O47e0SR+9fuFYUEshQgntkQtWLJbNxZ/gCa21vglKoC5SWmGa2miXVRzt13R0HtuYMnUdFgYWV
lbCWmUor0ILgq2XlbBitNFiStYXTJcmoabElVCh9qLtRR4DENGyLRGcJK70Zdz6ZiCG93rfRHP2b
ehiJC7QccbEZgSJy05lYmssQgehG5GaAtNoSKZufxQLMrEyEf9BHSlIq7fxeFyRLZUWy3BXkDgnK
3Vj7SglFCRonHa6jdnJLRuWeM9zUmeuxfqUpEn4OYghc8k2ulc5LZlT6Z6Rw6ozWjuxsOEW3mScc
gm3YIh4k86RX0g2YKWmlUDcEyyZPgV04d35Lt8Ffw8xGr77P9K6/mogzt6iMezSO41JU3JO1BxUf
BySOB+VsyL3CKtZNNYGBGdr5I6lZ7MiBIY8O82h8Iy20XYaGKO1DF1D9M8uIuJ8JbjrUSatjF6+c
baYJ/RZGSc2pfxQi8gAZbCUy/Tts1smdTG0iilvX+lJmdIpCnm31uYuxhK/D0/nRdQsrocwpte2C
lOTguHF1GhYmgSDHvIkzoNY6VLpi1u/AxBtGBIemqC5a4SfPngHxkE5FE5Mc1LYxK0kmls1SNR+l
gbM1HNxK3VoLoh++GicrNjl0m+eEAwqKDZqfcVRqiUJHZORNRL5Va+6UahfSMnyhHsxSNz7LLibw
CTWHFMB/XTT56hazka9oZlsJ50NzJ9Gvr+XBNJOJsVX60OmPJC6bs/sp8SrRX3srHcZDwzk5q0+L
MDttiXo/r5TYIEQqpkeZq8T/aicFDL0o9Up9cj5VYz613tYXjlbsNE7C+cfs0eUBXc9XJL8bNv+n
W/6f6gAQkbSw/323/PJt+l+viPB/qgO+/9KPOgCuOfu4CTnY/r1Zvu72P+oAL/iHxwiNGZ3nrvb8
tUT4oxBwmKE5Pj1s1zPWcoDt/H8XArTfwadD6NP97+XD3ygMfp7FOih1GKHRJQc75wSY9H+x/hrE
24+6njRHinooH0WdOHeWJD4THJm/+dOl+THG+zNXnOLl5748r8Xdp3MtAhtf8y9z37HT0Qb6Rn30
EJVclnE2LvlgBc8zV+DctgTj/fXrrX/vpzkAQFfdhlrJtNsM/hshWdJv88ib4vUq1LUgJiBEh7la
DIZeDAmB47rW1lK+AVYtM5/++sV/nrL/fmExOsNQZ6zBHORXy3Gr6Z1qwMAcF9n3H1VJpDjWoNE/
E++hripegufY1P/TR/4Xl9jhajHGBZ0OnmqtAv80+iAVK5eT71VHWRlrlmTaf+D/zZYwyMiWTPT5
b78gg+EVt8ArBrrl/Ir3zVePpYlJ9ZBqMQkaPkEic9ozU/Ut7Qs0J/f1ry+r8d+uq0cAI+WEs4IO
AtP/pY6lkaYvSbw6HhtFpNHgxp15tyytPiI0s/E6I7sz0CoRbwz4wLi2o1M/16Dipih1SS5fLVHe
tZ9Nc6DZ5QxYuUTanQ2a9y+z6f+HuwCaya83oedQzvHs23ybPOy/vN+6gs2bV/1wcDxcFk9aZTrx
TZeUFLpJQ8QfzmVjOuEGm8vVy+MYTzyD81VDRHXAOu26p6yD1FqhGOesB6MkJHWPewk+NIBXLH0X
7KtEgYy6WUJxkaNxqUyU9Sj8HUI2BrMj/k6TGc7S2Vz8HeWCcUFppUk6z3pzQ2SBuho9hW2cBdhB
F0nk8buP6m2GV7aocQtRw8xvpOWoe5dVwt0AUSiCQ66P2ue8TANoE6valQyWHCYqKqxZI3HQxNNt
fOMuXVuzRkYlfcsxfLQfVD1PZ5qgJcNlBzHeGNg26R7rQiDniueUpoe616aepMaixX+n4la8Drkp
XhepW0cXBhSp7OMoXmmYjPd61zGGCdpljZ1CSMzWLZ03nFXqSro0lXE1xuLVoqi5aq1mPDn9mhW7
ZM4btGqzPtZzoF5dBGVDxAkcl2wXO+o62JJPKgp7ok/U8YIUD0SyIieXm8GfnLdy4Dr6y8h1k7bx
NAR8aYvfBs9TuzhvRNSrKzlBwba1JsfazU3W+wzQNTLoOshe1+/3aponRACmVjZRya25iCTPkWZn
O3xYc4Znu+8m8NMo41AvIRaIs+oIWaitekZIgT/QpzLTz+mI7sEXrKebvhg8ta3ImiQaoHbtt6bz
xWuaIEdNWpIHA4Yiz6JEmB+SuMidARRGi2yMbTeSowVFy6qKGIZ5jfN11yQvnm7idpk7VFHSFAuE
KSjpVNSpQap3uoZu4hPms07I/sgebOTh9+tvq97BmuUTKkX8Jyo0jYNeC4v88vvPoF6to2rWc9aN
JT1ofNaH1OvHzZQEwQ5jDDdwuj4eLhhAccCgGsc3qFZ1EY3kK22KVvnB1YI0IaEno3JCfVn6en7p
8f8Jh1Ya2LFHGvWkzjN4VfG4w2kyh7Gl8Qt1mRn6cTJ6b1TIKbQ6ZeDaZ9qe6Vg+bVpg2vEVbZ1T
Mt90aF/V6dDHZxPe0CvEruljxAE3RhNprdn9NGvm9Lnj8qf7rq7HfWeCOg4XvSCpC84AxiboP7BX
Ha5z9ySsOIW6RupqXAfEQ1slGbitOgKCs3eo1K2LwwwgGsfpEDPXuCFSWD250PKiVMSIWaEwXmw8
lxFCLeOl0812IwCmhj1j7TvNTfvrlLYdAb90y7/0wL1s7q9uIoMkyNTN6GmkGftNwjhNNwk01Zvl
4ssh+UAIZ1xcFJcnkjjdi9DrgLTKxZ7PFO8VX7jSkEkv2Pj2tVj6jyBDQrjB1JVkG27u4EQbUhGE
RkpIEBqeFz9b5E5COiO0iWQCcpRk+1YbOBRz5qD2oYV1NvKDFjcdjgBuqblwuo/U4D9C1mV1ZZvj
XjbjOs0OrhazSy8y289dL14do0fpM6dYGbzErxjvj6O6LiqNnxmkGBdhG+J17lZdHfziN9VwHMgd
lwWzMYunHEfE51yCM44CWg9HUMPZPvMs6+gLkuEIGokxTkx+8+SikF0y8mc7PkayM6zKd04O/Izg
89IJ40slNY1BPoo5/0hzf7GmyBCd2jEUkcXJNS3rfUlGx93iFDn908UpyVg9Jn7wRJpc+3/i5AQg
6z2adDk8rGbT0aG5M24s9Pg/WTprs75Tg6mGHRwtEPY/ezttTvQ4zkrb+eHtrD3NfscAy88Ldiz5
CdCoGb8H/sSIhK5H3OwWv+FgQztzsJF4F9qZfsbApauYlS7wO15mz28OmV37d15q6Zucp4oWDIla
0Yx8+pXBFrWI6B0yvKZMiwpj5GuFUyq3WYkslzNtmUi6Rt18nK3cZ/g9sy3giEP4yWzmQy/J+XRi
h+WtcBdumnbgTukS3d8AtFpvpYEkwk2SNsYF9D9raetCaAvzgL8zYrbcu30anLuJryYq4W0zoBly
3pPnw3LMxJpJlhY1t6CyEiLgSgEEJDEL1ns5ysOcjqyDo5N03Z62n3/GC0yYBBCMkiO9yaJleQTh
op/lWXKmttx7zJkOjeSFrXix35Y5Z8H/fQn0UpLHt/DQ1lt/0suUdhfk/RDTDKl2w6DvoVUuYyh7
rfuo0QVgubDoubGzts6bV7I/drTWp03lZOTXwnNllF9CEqBimDmi7L+/LYNwlHLfpgRln2JNY/vy
QCfctKWUh3Ee1H0/UvtWiPQReZT1fDIZRNY48OfK5izr0iuPdBk0r5PZivTOdAjj2mYE6lXRNC68
ZC2z2bvaOCI6dgsXxCMChDRpEYNMvj6CUE2U7Z6GArN3hHVtfoy1xnl1U4OFdZZafp6EVBBP/qWb
114IA2JdpLNWNpp+EkOq/QaOPMBDPTH25z1T5WSaFzybauK28EvJTt4GvfGEiv2/2DuzJbeNbIt+
ERzIBBLDK8GZxapiTVLpBVFSSZjnGV9/Fyg7bMndcnTf146OcLg7WiKJITPPOXuvzfYU1GOebGvs
qkuIcrRcUeSDsCEUbS6vY3LOhlmzVD36yx2NY2ADc5fxxKX4a29BtVI1MJLQ8SSrplz8gI7y9Reh
TTR/uU4cLR+RB2vdY2+BBiw9MsGD0HlIEziybFW0Fw1MG0E1RdspibRA4F7ltBzsyLZQQCU4bqQ6
w/QIF33i+WkWrQHOYbSz8NLizuIMYstQPybYHG5x+/Qe3FmibmijrEdQ7sc0nsszt796QDwRHpI+
1D6OmktINKZV5iKEEJqA8PeBtATyJ1vbpt2g+B2Vtc7JxcUv6mLga3wPStElcFjSjTrotsjyBKJ5
gXOBxsehAOsKlz8VDzmAEyJyWSRWcV9HTEE4kbRWlnwDn6q2Tl/4e3cuMhwdVY89tWgGcvTybwxF
vmnpdOeO5nDgueZg0FX6nduW+p3KmC/1NNWsZsr2Y6dA+WA3fBytbtrGbKLruArxBMJxAxNgnkfZ
5RfuNvtyPqZHdr5sZ9KBxLCDaMXJLMa+6blLsCobXKo7fSqD51Kzute6kMZt0aME8YxA5wA5VrvU
TWFo9tgxxAMnP9weGBi+0W9SRwPhShThLnFjLJ45pgzf2RPX91VVFjfERMdNCJCC4wDeTE9hGU5a
X3oaOzBiM7qGrCCEwhMeHnashm1cnLpKagcs4lV5bpKUhzQLWW0iq+aJnHufe8/AKWROjswjoi2N
/eXXZdRSdfxQGju0Em34YrYUtCB+LvtnICYuO165L2lzcejvEfmv6uXg++vP+Vv1gyBgiQASirLf
pHD7sR6Ff9J2cdGW+zS3WIw72xZPFbNntPAQmU7WYtg8XpfDX3/u30p/PpcBiwJmhmqZSvHHz6Uk
Tw1kFOV+jFPrrdVg5WfNmI7bgRCnelNk+fRgWSFrcUWLLfoHmD19m5+vLvJHqmJecL7Ez1yuqSGY
fsB2vQdETgECfEA+0UQvTkiBWO3pavNPvawpS5aTNwkhLO7XC/C/jt0/dOwMA6HQX56VvyUYPn3N
wfc0X7/+tWX3+5/6Q+AqfiO70KZnY16Hc3+IW3UmeuhJ0ahyLAU3/Ke41bB+sxzBPI8i3xQ87X/O
7QzzNyw2S1C06yjHgE/5n8zxMN78/GwthEcBxU4YcLvpLv34ZNuot7RwUPkB9UsjgMbYfhD3OFGH
gYz5DB7lCgGuHG5aOaFqa6ppLZrR2IF/t/ekBUXwSvwGWK+ywfgibHkaEz3ZEKdG2mBgNYTi1ASR
Btb4kfiYqlpPhjLe3CAXB1nqqde5aqBiCTC6+vY7Vv/2QA5JsFNRHkCQSCpP+GgY57ntdhOtRUzV
Bhzb2R2brQpxeaVoujktkQxrlpXzhukkO6Cjmrd6ZG076AhrHfOJ1wMQuBM1S20OJOJJhoxz2MpM
tiB0GMXHEKXTTvbafGz6FPMse5v1maTcEt9VhjtzlRGjei5qjEpJ3DpMKmf9oRtquc5T+9J3wj0j
ba/WThYEn1hrOfZjEd/Pdtevk6hiBY71elfbfr4fIk67tTFdirKwDzXH6q2lJdNq7npxl9vuMciT
tSrG5F5zfPYfXyYEzwxwpxdnaZdU6pHGRb4ZKlPHD2+aqIDH5tA1swaGZhZHMwm1Y9rk5SaRFeG/
bC7rBorVubIIndtAHyMEm1nok+CEugEPbd8Q16R2ZimyLQguxd/azJdyUWDakeavkk4+WWM2fpmS
zto0A2kZvp00lxkLNtuTlW4t2mdrrRynBzOK7c8dFoMSdR0OyGYnSiPed30gdxyh/ZfeQeLL8Md6
J98qmc7dJONzoID2pMxBQm8c22zjZGm/jkIHAx7uqS2n7mg9waPd0PiWiPFajub0Hj4DFxi+MQtx
tzODUcer/MW4TkMTDPTQpDdTXD6HQHSxsxbTm2YJ7Bj5rPQzhN3+RLaRXBWZzk2O3LDclIGDREv6
zjqcE+fo61Z+Z4i+OLP8Pof4K1tEl2a1d7oiuYxFhfaFtO07mdWcdyqkwqsyNRHbRkLL7H2nddG0
hXrEGdHFPZd4czcOR8Jqt8T8AKafyavDHV46GDuQ2aFVldmCnY/BSJFpsJImCcNeKruMYow9lhNL
YFM7cg6CSJfda5rau4quZQiS+1xb8q1IK9u/qaBHhKdSpB8ssvwIJ1E7X3OEdsCsT7LjLm2NOLHp
lA25+4WSvIo2AbzzO7bt5r7ppJN9cXPqixsz73Dbt92zKkfjnjl5WHcb/KdPpt/EG7fuxAaxpXsc
cJos4rcmnegeWOVDCUI95ow29cG+NO2kfpY435FqKT0h33qNILugMwBJotEoOGKp37FQct0zoEZb
34pzi1018PXXmbYA9MVSC26ryc7sD7qCklhvGqJ8Lvnodv577FcM/aPZXbHCrUJhagQCdsUjT65K
GLhmHRERNNUSunzL4UhHrvjZxkGr7Z281wukfOmgrQqn65L193aUjyrQPA8M2mgL0ClN8CfxpOiT
CMDEt9RzOYbH+7y1zffJNNpkJ+khl3sSVe183WsRw8dW+L67yRVcOqLoA2qJbNSpIoisz6h2U7pl
qMAi7HvmsoknhGTD9mtIfM6CKAbZgxK8uKOQlIVFF7oKjfZE5onS10XRa/SdR4yIOu7Uu5FCYYvY
mP+qp328qhXX2LOAbD0xdZGn2kJIvEqKutI9bMoDcHLDOqNrqw5J5PLeo69fqyQ1iZTqDHuHzz3c
5Xbv7ApoAve5TG/mAO8GFlNVMOJX4cmnA74FVQ+kOjXhD5MKHZXVusMjv2pjSx4du94pDQke7yqa
AxFY0QamoKFtdZtkB6R28caSzQzqZABTaWl5fksJWzw4vU02E2OkVxX7ElWi4Z6QABsrONdiDRMj
2LV1O2O1nrtUX2UYyL9UU/WZPaq+XeYKnMngz0R9xEhW6pX+GMzC39LKdZ4VHbOLSdQzm0OeHlJ6
93cFCWfbVJv0Y0/t8mWWlrqfID41thUcWDr9PTmW+sfEFtEaLJbz2ouKDJ8Wr8A+VtV4smd7PtNi
dVZBhSACZ2j8Cei2OKqqADLGML/VcrAJrT7HHsNZwbi+N8AeTv58T+R3TEvT3TVY3snGKZDQWn23
AxQ271SfKSQH4Pa8uSFXfUiL8M5eLKDrepTOKQLIsHGlgZm1plM+8PmPo4tlVYoIc5f0QcJNweD1
86JLiN1gZ/EDtmWT9OlKDGbI0jibHw2jouZCDFu+9aiNz8Kexde+kxgxUAJvEowLe6upjA84O8qN
dCGJ4GsLtjRr4aWgcr5N9KF6QYZfnTtIk/dKCfeGEhskQ5jHAKTGCFEmIIGkULOnZGrt07n/hDgz
upmAQX7AyqLfAu5y+Usai5NANgM5cQodjJCh3zZjmLVexJt/ryBG7oBV12+OnXtVYyVrZMHtpW7U
CJABgsMhcxv3AvMGv1ucFJ/JnEF5OWb6JpkK/RDqwQe/zi3SRzKdw4NNz0qbjA0gl9pZ6YJKN/f1
jQnZ5qyiSD8ZWrM4yeqA4lgzmKELFNarUbTPGmxBgocaujcrk9YiHnGsOP1oueTl6Ta+eHhUqzyA
Hltl5HNaK1ArIuBv0weHPgQvNSSodeEzO5AjlLbRDGNaR6iF2d3qBOJb3i/ZIoi1Y4dCmd4youmn
xprK6PK/833eRu30T+d7xRz9V+f7D2/ECedBW+Q/HPC//7HfD/ikwf7G+JzqUH0PIqds/UObJ83f
bHg7nO6XOuKPcTw+2GV2t4w4LTR9Bl/hj3G8+k2ZzFxdA9GWaZJd9p+c7/mIv1SOTOOZ2sJaxdhK
NSH/NjWei7nqtKazLlmfZrOXR2OHC6hpcUKRnvjpLxfm/nu5/9d5/I9F8vXDSFVHEIhRzuLn/jQs
DtRoAqZqzUuoTeUrPn75NAGSeUmils3PQsX9GjBaf3P7uN7/Fx9t4AhepuMWF/XHKibSwDe3hTAv
1AV8NJkNxCRPpGJs7M5iz3VGtu9Gr2k+Nj6ZPN+r438bMf7jmHz55bYk3pAYeow6FHU/fbw0oiB3
49S4pMSPRdjz4RJ4Ov6w8hgVy8eNC4Tx1z/5b3mR1w/lUWEWjKrE/jkNIC9zvwtKV15oFMunnC3y
IDOLidpC0n65NsVNQIJ0SURXNzs6J+27VS6YZo1JgldZBVwJO4jHfUNclb+ZZxrKTMoRa/uqB8vY
lz4jwGgmInPFdIKDyZjm9Ll//Tt+bOl8v3YEtzLqlzR18GD/eOucwTE6zHcSfb3Gs4KM/zCmHXHY
TjOKpzSaihO4meb915/6Y0vl9091eT1svOgM/3+6Y5amo15UtbjEy8gg12Z2KDsPv+nxWF2ukgpF
NXSrbBfN3rXR9uvP//uLaRvQEhwEO4uC5ed3pXddADJAhi/fJ7vLCzO5dM+DvhL/kGAhWEx+WgT4
LJc3y9H5QNRiP15hcB1tjhBcXEz4JQ9aGdK/7qOF1ewbRvM+Yrt763VreTt1xhH0n3lZNDba+5hC
8h9u97/64UAiWC1xm8MN+mmRkCDD3Er39UvXVrwkpu2nxY2k0QA1Lk/c/+IlWRovvJf8x1byp8ad
KGM90oxeckBgr85xgYHrXZpkV7FCVsfmwegb5hdVxFPu0vy/zbD/Bd4UC5SKIp6Lk2YxDAwqNQYb
aOMwxpLe3VwlDmHYM7TMp5i3TDk5xZ0borjf/vpZufb3/uyuXh9WW3L/dMFWgY77p1ckJp0RtKUr
Lj5NBMKEbGYt1+eGSrl8retM81KQBa/5xAW8jl4CIsWB8U1utS+vIogoMZkezcPMaEcwoHy/Chp+
/T3/xSpo0x2lL4sjGHn4T19To4PeW74pLooUblQHy2VmVle+Cp1pKxOif3qylx30hycbITxPNXsu
LTI6UT9/YtYGMtaTqbkMjMhOqs3Um++Oyz/IhWIibYz3tWEx4/Ijnzat3scYNQe6BY9Rt5RlBo6T
d9IgedJ1VgCddODXiDyQG6bOxel6iRp2DQvByTLlg298uorLNMYSBzTXqM6mrjj9+jLyC37+WfwS
7rPBk4tzkC7gjy/s7CQuwtYpuBQ8JfCBp7lex7YW31HYT+0+71FoeLHdxyQhKuaYFDvgrtCLUzeu
Uv5u3ZuIcfBkLPsNYGt72wMdbveh1XQCmFkwGStqY39e63CFaR2Hg8YoIwvatW4XRU0lMS0zHtcO
m7Uudd6MGJXEhi0AO3oSM5MwnTK/dJSZJ6fJ4huZOcVtH/s2DbCiRj1RylT7KCY7uSNTKv2i01tc
o1XHViOnGSbiNPbh+4Rr2zq2U4ipomX/PpL3kxlw/+PyvtJDyuQxdC08ykXDrMwOMREw/9PKly6H
t782fNt+dHHE6CQ0Bom1qmVfMXxWQY1AjXQtUiZb6Xwm4h7ZT541bbKfKRZQ93edWR8kEzTt4CO2
u5FBR8u87P2jTuv1cRp6AXMRvX19QdMvTKaxba6oNyS9SIYrZXlvB1lK9p9rhv4aCJj7EoQd227C
M2JPHRW9hSV9U4E9Jkc0NdyNLVoaQTRj1FuDjBoeoMNqwxGQhbhfNC9NNPHHJhvjw9o3CH53gPZQ
OAp4nzfM5pOOnVmECNa9Oe90uzwyboqns2UU1Y02uo7YBhMWVTi70egczCAKCbhz2y9OnlgF9WCo
4zeKa3JqsuC2lma9rTG/YrwlVk3X54+C+NIj2vRxTQIHUDFgXPRVqmZnM7jfggIpPlFcEVtKqB6D
8DJ850EZvwadH7criLn5Wu+4PV7otwACg1KtMwGXlwcr04EG+Pk4OquJcgu3X/tuVjpEIkTl5ZOm
iKw89TmRdeYxz4myfLKx0JJOOuJ1LWw47xl60hU6f4I+0HUzZVrMJoLhMhm7iRlpghbeBMyJiA74
sOVHELPIwDM3icEtT9WUOVsklBx+ZoZShMxxpYmaLk6wCTgMsYKbb5VDDscGrySp5Vngp89IVLhj
EwSvW0CODHd6e5nwuwSB7aKJpxKDMsj4LTEh/B00SMpXl3bfQmCeuakR4itP1wk0HQjoRfUTNNx6
+OOvdWQGl8525tabJ1RVvhqIaIx0zqvIjliNMhRhV03nIGXz3qAIOVgd02TNZB2yzQxBZI0sZ1Xx
hjoeLlX++qlSfDkqDkR4dOdfumXMl0zw/pM8kU9YGpf/U5G6N21Lh4pK1fZ9ujduFqyFaPlfAkLe
G/pOHHykDj55RdBZkWwdxcWpJTs1oiiD/0cdiviWliNLzFW1EFylYHYxPhAbw6Yeaayo1zWSM5xz
A9CcdyKu6r1fOM175S6XcmnIPTVNx79ev23WdTTEEC2N9wXHTmgLKprugeHyr2RumvVdniX1PggQ
JHYzd6Q3ORlOchBPvUDqK2U8PXQQA1+MNJZPtI7GezR66BmuOiB8IepNkEyHgoP3N14RG9q8RwUP
Q7z8Gxw4iINBzOlTh2z65hAauwEa1LyXi7KhcoPqNQbna5Du0UwP14PCnFToG64TwWv5jouBW7vo
jmnOxO8muWtci0UHRKdYv6VVp3m4B+hn1GlS3PAYce/k8m3zAkkinqB6fxUL6rHOIbwoKnLtRVK+
YoplN58SicjSlxhIrGZGRNAX1gQatan55j1/pl8VMHLGmwoSOhSfRY3ZLUeVZI7b9+/Fz3U+SAT3
okZQk5l6ppYAJ7ZhstLuVJNzE2bKfCPvGpEH2w5fsJSMOlaOlg/xBgig/znVQj48v75CwlcEN/cw
fzgGsfMAfxsujjmgPHQb7lHpOxzu+K9uINiAc1OxtmFTMQ4J7KCdmAQHA6hMB4s7fZs3hn3g5xQn
o9esh2jCGb3COcm3xdFT74eBHbddHk+Vp+JWD7CxrBJz0b3EPcdV04mn7lwOgRbus9CnBhSkedJJ
WlLENox4+TL+ElyCjo1r1grHfRkJ8HqKE6dKNy1ZErvvKp80TNUb7kuu6ViCqPu+CCSpMT5MEdRt
oAwRcp5F7QUWmBfOWj4+GxBlwnTjONYiGItFUZzcRcLIcR/Gp29wVyPZOEAejeU6DNyhqw4UPcF4
P4I+f6uh+p0SPSXZT0YzktEA1dRNXTd8k+uTaI6xaE5DxBKgoMaMG1GnLD5AaYPm3h19ORwcXLUI
0yuTpQnQYrXPajprUTuPpEpTjjab2WoX4Y/TcQaSdLkfUU6qNxw54klqDjWAG1OGmFcpOwY8ZJxy
Ej3EjBhR5hS55asVlLzolRhQ1S6/kJ2IMzKsdziEBbK6a8E7kzHwOguDVzSgRMX2k+irgZL2qav4
HwtGnMYG/9Z4P0PHY4a/nBiv2+Y048Vbl6lmHAzyxYGIqNK9ySUBEXEns3W9yLSuV60u+9FdxwNx
Let6+Tqhxa9IIt98K7uW9zVfpBBpko8P+jwZ/to2ZoO5YCqwhNO6e68iFBPe95l52NTKAIaDxo0H
HFltGC2a/gG83p6oHATR5GWm6gG8ZV57ORONRUurqzeTaKYIH67vvuRLkz+FLY6yttCKDTPXIT1m
WLeyTdqFsnoUuhx4RPyEC41tkAi4+Lr2jTLWdkWANDDkKBIsJbkJE9yj+Vmcrhfg+1q0FO79ol++
Lqx1YLPjXJ9dn8R49M4trvvRjqbPNdvQ5fp8mrLzdzGNgF2fVyZRqZ3DI+LoXb1H/Nkfw2Ci+/n9
gciGzPlW2sAQvGwRqWkE2cPPWPTiFr2U61NhQUqcV4n00aUh/N2JKsd8oZZuQ9JoEM1BLgIqbxWM
RWz/iYZTS9KEqNUijouWH6QNGU9fVKvUq6E7NruJg1C9Zr0Xt8LkJ/DIiScVWsWwFmnAmwXdhB3G
Rmq3LUoeGpQgrPbYqe4UnLILlToPta4J9FrtwKJ9XQHNpIV4UPhgI72WcHO2b+YRDH1tNHvesgHh
ng9IXvbKvmVRKAKSkreVRjDyJr9K+eKu5TUzqonPxT84PnyXQ0M0d1/cRU8YqIDf3U29w9MtTYCV
INHGBeyjlURSC4dEhLbr8/BOLFPYQ84yevtdo6qclusRRAVPuy7INXxqVcchBKCn+3KdDhG7sPxe
2x3uzU7aj50zZne0/L9gkEDw6MbNXqWkEVxVeAMU/m+o+gsEXoycDYuS2usLWEXGyPZIw54daYoG
DGG0PMkWjyfrhbQ8rnNE8OCqUMM87rQuNrZ67kw9E40Cxko/YuQlmfBsmI0QwINUdqCyH/e5YMjr
pWWZn/3CKL65IwkbW0uOLIYcMkk6aGTrbMaxIRipWhb/I6weGpFuGHKm6kwICkTwpAf4zXRh6LIh
oEl9slaDWHJ76qzknxWsT5ixah7v6QAOK8cYWHDqZfGves44BFePD1XojA9E1lxTyEC6L0i+a6Gc
oIU7DYbLq+qGBMGudMRn9/6Mwi+RBecDWHx80/G6mZD0yYqloiL5WlyVTIlb4gBY9nCyVP0X4h94
gq6FYUDsR3lMU/jLaCpZ0wprtP0T/TSYF2GB/MoNzMNQuuI2GJWLvq9t3uU8oUE3EvNADcZ9XbzI
47aGNwD5L2C1IjtGPvVoqLzrukk0GYujy4a5uZIGZbqcN0vfdQDbOijBwHqheB3N8hW2KbnbQDHe
6opXCK4xh1RfS46oI7dWsKzMM+jwCs5KGO4l/NqvZm/pzUmVHW9cu4zCVVK5N9r3E0bF6UFjZ86S
3MH7Ys8wUSjYxnbfUN+sGJbWO3LXum2KZcqhVmnVm57M4gkFFy07RXyDR5+HS2LHuE/AI0gqicxi
Y7FIbH8K6VgTMGcbh6uFpJ6DZTm4HpmVnn1DKDqinGZIsw0I7HA2xMnJLZ8cPjGEHp9HyF43oTlF
z2UXJGu43i6rM9UOiVtMzAkntDII5RPxVPcI8ArA47ObOxujNsY90AztS1ca6j12u/krlIj+G5DG
5mWQA7YZzlWSzkWj30CULnYpzZWPyHQsrBoMaZnTVzlBQxWGoaMyxugW0yx64diKPuC/DB5JDALg
22UMw5NG6TuwahNJ1aX/HGp28qWoJv4mletRw0k5d4P7OdeoWFM9GIRnt1DOF2jE706n/ym4/mHC
w9RD0GT8957LMzD5rxCe3/464Pn9T/2h4HJ/Mx0idzFV0t7HBUjr6w8Vl/0bfAUgg45FaUXrn8/6
c8pjIPmiRQXr9Iov/HPKY/x/TJcYwJa26Z8tQqVTXDq6tOHf8gV1RhE/towMRsgAk3P9lOtaEVbA
PICFrQk08/dRS276JkGlUMCJ6ct6yxyTPB2rbI2v45hCJ8jmCEZJNzXncQIxjBTXiOcP45ya5otw
SR9fD434TKUcPGdjZ3tRYKkPvWm2Z5BE7f08wCPfRkWMZqXgGT/DL4WJjSrBLXcacSr7uo1z1oER
+OmoLmndGp81dK/TiUKHngCW1vamj10zfzYSv7NvmpmURa9LrQHQjpkZ3Xs8T8T3SZDpvlWQuRyX
23lqAOElDaR19FA4mY3udYjVEI540DPtnBiRmldVndnlNuHePlLTZ5ZnyLxINmXqR88CyfMqCId8
9uoIeN8B9GLzbtdF9Wix2wL2gdVP/fOeUrRuIjuip6pXNNn6XspdLKOnKTGSewteT0yNOBnnyY79
bE3QaLQHJ4+euaalu2mF9kabHUO+Tml/qBviGefcNTaVKxcQnAONcQ7tSnHi05oHoafqTP4Rh/u2
s8Who3woTu2MeGrOHPuxtJX/VOM5dDDJtQbnDTxK6QnHA8u7jW/uYw8KCIqBtD1w9jbXoOxXVTfm
R8st0lNbgovIu2yIVtJqfALDp2k4MR8KHI8ogXBjR9b8UOWBCUOH/breE+BI9wVexopqbj/Fw5yv
Uab0oWf6ALMdUrf2CPXlx3I2QOuhVpif3NSme9UGgx3tCQ1x0pcIBVH+HOAzJSCky005Av5pqRSb
neziSW8OYaDIAc3iVEF4C5q5DrhzqVgpldLyaEwP04B5Oysf4bbu5xvLRUcY9fODE/pXGmTqJUkx
xADvMWqZmOBxabotNo62cQiq1Qz6HkoOm3T2e68mvoIukP2UACgAC3sIuvpMERyDHmMOHxW3ZjWj
6VcJEpnMP9pJzo6dNM9QjS6jsQhi+JgtbZMWV+BEn3sg0smO/K3fT494S5pDVYch5VYV31SZprPV
mcm29St5dLW85awsmk2jEUqDOSI6ml1abPEJRSctneaDXvFqSqK5nt1JfiL8E8w8CKQlJhWPXRv3
WxjfbcseZMRIu4bPVF7pcektnSrSudbzjOihLqddobkE85Td1qTzCkK3WkeY1Lyg0lxtVULs94Iw
/Krm6qNNsxEdV1GurEqniWrWiePppjMgrJ+Cm1yNZCFEE3GA8fyIw61ZCVIgVj0mVM8kneOebx+f
YpJcaiTnbXkQhtF9JXtrWjuhwcXhZSPsAkmkXaIZCuYWUEF1yAf1SEn8kDjRDWKdnVt3uhfL+Smy
WqKeGvdoB8ND40aHfM6WEMoJojFXPyDZyOnN56aqds40nmOpcWjA7LWtAZpueh+ZUOCbL5ZBBO5A
B3gtsvRraur1SuZkx2A37ZCJ5WfgE3idgFcBSlQsgpFzNku4ZlATxhVjX0FtJM0LvPp8k4117tmk
1PFslc0SxxRaO9lkjaeFLoymOv0yA2heVRh4jxbL5bEjf3E1+kZ8G1J87DtSXNe8FeJCLvalj5vN
gtRz5iK/HeGVYQ1iNUs6H6agEzfaCbCT+RDJyjoWJboubli9Lenvv9oVoVda08OeHL/hVxB7BE2d
10RQaC3hTJ7SfPfYweTbNCzrl9YY8K/MlntIYvvBt+rL0Lf6lmXCORWxNtheA+/qA+sKKSh0B2k5
GC0GO+Y6XtUm7Y4QJbXVgXrcEiEbPhjj6J7rUX+Ya61dm3H22gSSIAW3u4PBvyXnFvFsXELizJuH
xoIAp8HM9zs93sZGYvD1CnpNZnSbGOHSIPS9ccn2iuL2KaVlvZXZ7D8OyXAutYpWOyGmz0xBnhXW
wxUMtrdmdj9yTjzITlk8x125zVKoJ6Ects1QHworRioEe9ShF3IrRVDtBqf+Qkqg2ijyn/Z6K59K
hKw8wElBHQF87aSqQYddYzx0bnmTNuGLlRD8KtOZ8MQlNbMpN5bmfjJd0LGGqQjWYi0tNefeaYxd
gy35Ab4q9DYKeJo91ux8zw9LiRtc14bNq6aRACft/mxP/QY89dFGc7VVfbXo9ODUVX0Z0ed3C0K7
ptQhVLmbD2HR7tsyPvYRoaNE8UbYLzWOyz1wpCKhWPBde/GrIxn6njymcb9o9mjOLa0UFBkZYDTK
oeqcdvjkmG8UmzJW4edytExvkN3NGFXsCUP6LMx+n/vFmZhlNtYYMKms28eeeJwKY96Xfsz36Jo+
xsSrk+iDzHCkR+yZyo5O/USZBClgy0zEkV6g1HxL4n3ar+D3lmuirMRJkT68nTRjWjVdYLyi/Crx
3Yokx1TeIi9zkiUQKzPy+0Drid4s6tAi7A/CeDTk+6lA+yaEKLd5R5KLDHKfjhpKPLeDM44blyP2
sGzPAGyLhXLqQCDVbfmi5Wl+pwc0i9bmlDIaAWwadw/wSJ2Di0L3OPbGsznq5Wet7jVYllne4cKx
BwO7zzU1zTSLqd+zz8pN37pfMq2/F6FN58Uc2odG5fegbTRc8tplMZLeJWP0oamNetuNVnGsZuuD
05jpEymSR6mJdiP4eaTypdUnlldzP4jJf4tnUW/weNQHg7AEcpH7cGeRFrdynDKBhkQoatT0r0T0
NZtch4tJ7kzyUrot+ta+cb5ZnQrWnSop5EIjfSsce3q0Bw1vY+e8GgmTkszJ7BdqOdIyfUv3pB3G
T3mQEyg/EFnt2mm2MoyRKGeo8cOWG0ZLfjSSbeVELMiQYDYB+vpNBtyuTj5PumY/UKP1H4yGQaPb
hbepTnzT1LNlA0YUmedEtYl6v6zNVanX6amhBt3HjN84I+TBWch0j/KV2Etllxvg+eg/M0k8m3TC
7kJkkYOC3qo+aLO7L7AkP/VNABrYjdzIc3Hok87ZvleJ84XVOd1WDP3WXe2TShqLk5Ub7q50axjJ
Ay47v7TYICKX0Dtp9F6oJNpqrYjlLZqWyCukqm5orVKHtc10k5mDux8KMa7tsPqSBtmCc8TmfV9S
cD+yQDa0hDojBWx9TZkzGe5sIXknbF6Nlr9W2BROAQ3ibcpZkFYOen+vcBjurIhbNR6z0BCf81RB
gIxyKsq5harpg4XWRMqBoeOaS5ok9D1hb5lZf7Q7Is8iYmRyQ975FCpkkdGE7PxjSLxsxsnDg5bb
A2vNfJEN4anuBntLYktAzCgHUXHmoOVlef9Su/PBwnRe+JZFFLA9r7O2HDedH1gHH1DkaqZ4Zy6k
77hrRxWbLbSPnmSiokD3aHaf+nYRCs8lPdLShwKeFjR6Fg22lhT70MyZMvko5UtHpHujhecW1nF/
zCFl+7VxG4ex8RyZFpDi0kLDGtI+j9sQSbTN4HUOt2lf1Q912Js7XXwmgJQDU+wXmzjzn0VQYwat
4M9qprG2wrIEyFmvHCbPR+I14Y5X6X7Oee4yGGNIv6XwCi3HQmn2a4d4epaTSK1Mx+oBPEP4IDLs
0+C2GHMrd6s7XOLMLZ9H0jQ3tu7CmYyyEzCXaR0LJ1tTqjBfb0EYo74u2RPT4lAU5oM7gHC3AuNL
mnfPRTkpjPPzpc2oU2Srpu045KZXl+TEmPj0jVLVZ8BU/baeNfmS0vtkrpZlz2PbZB5zLLY6kvDQ
/cK8NIrUi0OgTCsZF8VNks3PWVUSx9hwpouQjr4nqKLFaM+XOeIpxzC6mnSyyazR8Z9tkd5UKNlv
a9Nt6Ynl3zj8ggANm82ibMEZkkhuaX83YljZzmmXPddmHK1Tswu2zA/cjQnZlEO3QwyOFqfnJGBx
mYYk27oQUm8tx/+sN3WwdhOy+kKCvS+I9LWt21jCI+KBU48o3Tu9jG/z/2PvzHbjRtZs/SrnBVgg
g0OQt8mcU/NgWbohZMviPA9B8un7Y7qqy1YN7n3QNwc42EBtFFxWppLMYMT61/rWOPVMFUs/R+vE
ztyQWrD06Yrg4FEzqD6dHbjrcuH8gjJUF4T130rOG5mhPQt3fg0rygCNtr/gmIspPEm3KpsZ3qfD
Zta0XRa9ay58XsNZVJs2qfZ12tzQsXgqxojlMaop3sbHva0qjreDaMyd2Q07UdoG3Z3JyTWAFbuJ
ftRTbOKEzVdmPL+Osv+Kye5LSVgEY4OJaelSlsFjOczdiuNU+KJpYvB7Kzug45IHNuUFrt/PblWu
G88rd7SOgy4J3Qp3M9RBrdCNC8uqbhPF7kxDDfYxCULkhi+mX6VByRR41m563O9URObjzCMhCfh1
eRLUSNtVtJ1ctz003MEvUxN9M1OCC2agwD6bYHMYrmTdAFo+f87IuJebGMbbFY8syGojMjAbvLKR
axE1xa3qRLcftBGjYuKku4QgceMDHtMjv0xhIjBZBYCi6B5q7Kp+VL2bHQacJwd21ekBa0ixs7wC
xsQ0hyel9862KfqHCR2PHIt3DU0kuSmYy7/bcduf5ih2jpXpIutnU3rsmfFubWU1DxZ9WWsCja+c
4ZPLtLA44Ic6BJ4QMGxbhhfmKE2fRIJ9iQIHmXcex51J8H+dDJyWBmkt+Gnprhu4MLgmCiYcprUm
vc+hqmbQC64Tv3o/aavC1K9Dq3d9KqnMjYD5fO1g49rLbPri5j0caiFfZZjxibGpvSz6rNg3yXQA
NksRoBqujBzre9lGVBan3oun6/G6JvuwTnJIlVplF2yDmnkNHJENt6f8nu9O6Ixs9zj1QzQH/NCN
wi/Bn9COomcH9o0H6P8J6IAcPiAa0obVfOLS2wU5m3iXRFQbTJp712NQ2HEURnFByn/G1uGxk7b0
9JJHNU8hxWnhamq9U9EWEMXTxFqLQNqkxaAKDhw/SkPUGFNanXaZLN5jtDD8ZqmzT7tWP3Vp3R3b
0nyv5/5yghW0Ws4WYo6vDFb3DZTq/CZpuIwlNpuEDoaNkWXK1xT9BYyjOgAqrnZSVnITi5yBfZlf
ho6k9MrDPJIa8HUqbv92HLeFoe9Chd4BWoCzjB1NW6xY/Ci3p9gh7r7NZXULPudyqiZ00Cmg6sDc
oDJwzhImkBctx8JFhEgEGXKN2fp6NLIq23qwj8qs2cwpvBZznI6KbyrVroSf9b5jjbSNZs0G8Msg
ky+xtA+uVd9gOhoPDPTFmiPkiSX6UxUMxdbqxw1HLe5kLEw+iHG14tugX81GL3bukuHyZh66Vmce
msq4wz1ycJN+Mw9O6te1UXgcdObiqbY0ZBMFY32LcP/A2nknKA7mNxq6TeooTl4uUPiG4yDyO/I8
da8oAhj0YnXEWsI+ziq+FF3p3SbUwPMZ2bta1dHaoRbh0TWsGzl7MKgrg0a1Vt92rS1XVtMk5IVK
W1s7GVBkDjjJA/awb65RX7WzOKWu84r5fFtlr52R7/rOfW+GiViUG0+bwiCkQsxlXSeFbyRVgkQ/
vFcdxI1MS1+iGlxyzTTRh1xAayhtfdnsopXMpEvWRYEWEEGth+sSvFC2etNELNB+2zcOeUA6XK7z
fhBHjT19xcSFqgc1cCgfaqxabc+TvBpAR3p6VdNbOC496cC0VU3TSm6cmLOC5Aa43o+wHbaoOOGR
R5YN0drAd5YYU91faOXc7KxWZB4DADxecVYHNy6rWkcDASCnnK0xoyIA5szAHzTLydttTgiNnJ6W
qsY3jQipzeGMgAeoFn28TSzPqGlH5zOywZLAMSArdIF5x/oCEEam3QW5lRbFYnUWof+39fp/qiFb
Xucrew2WvaijDOv3113yyz/9y+ackrjtvzXT3be2z7o/4H/Lf/k//cP/8+1/lLVwzlbGf1bin+L2
a1m08c9Ri+9/6w8l3vntbNg2aKJZuH8/KvHiN0ZLcKo8C9ldOosL/w8lnrow1xQ0+fAnQuJS/VOJ
FyjxJps5ghhiMfD/R3nqjxZYz7NxNevCMvlpIGuXP/+Bl4cuH6U9M+vvtg+OwuONbdAQNk8T88eu
wYT0w6jibzIXf/eCEt4CAEQcsI7xwSqa8ltXosrtk0kAbW0MKt7Ni4/cAcaxD6Hb/cJM/tFxu/yC
0nL4vAg6uK74MGeAdDy3HsGVkywj5zVZTD5n20hrQ7P991/towuWl+JSY84nGqBL/SPpronAnvSp
YZ3SxQ0XS0Ij5NEYEjoiZL45QzyUacIk/deYib/5LbmTCPO4rk6g5SNwQdXpwNm2sU6twCBO1wtL
MSRYJCKMLPkvHPHGR38+vyh3oMHTHVGO+qsP13AsszaXY2ydKITnhWSFN2BFVze2lKGTzG0LDLHR
ESkS4xG7vqFlGrnQeTiQYjAUxa9c83/99cFMuI6jAyZwAA1+CAxAxsVxhm56+k6V8yDJ4o1mO/J/
+VrGEgWAQbAknj7cUGFigiqaJusEVAxnH+OPN9nlIxseDC7/fkMtn+OfMzKLaI6Dg961bFsSFdQ/
Zi5ifDEMgnvrBJP8vRXA9LAS/af5hvOLELU6/z+r1IeLicXckp3IrBODKQ62LuWhK5dmJt/ABfOr
3NF5rPfxV0KeNegLXVJkH6MddPUYw6wZ5olZFDaXc5TBCDR8MFnTAjQE2vhqORNf0iX6AUnTPIRD
YB7+/YP9mzvY0S2WPX35qi7j/p+XvUAYIgic1DqNbieOZloYGn3AmBQqreUOxYKUb9JUNJxN537B
Ci5fXnvJIrGC/CoL9nd3r2WZnkXSlcXqYyggzWBE5mnFl3cBI54dI6rApY+n6Fe00r97KYgwAHlB
spp/SbyNldtwnqrNU2zz8XoeO2tfy5auSNfh6v/7p/zzUs/ybVkQP+WCr1yGvR9v3yrqSPfXlXYM
cOvNpFYbEh80vzzPCsvwQL21+6uV6ecleHlJyTkbzA5Nelzgj7m2KgX0RvTMO+oBnj4qsLHctE1L
o6LSYDS2lERuzr6cyMXFGod8pXK21CeJ5qLWbuzU+3kpyDyvIN9Nl9OMrxGlC07FOl4Mkv/+Idnn
R+yfXwmbBz/SGtPchR9rOn9BEdEYmTCsM61jm+nUQC0VSuVSphQabdoT4c8n0j3YdhpOB6D2J2dj
8MNuG2yOlN8kGR6wIA+4kIEddm8zfKy3kWywg4aw+MsEaYJorTPrQtU2MFwRbceRe7YfZQ4eZz3h
rzWLp5VqcvBoLceWgxJJ/dwt+RE3tMwjO3TO7RPOqxviwLh6HWynn7qZuLkPALU29kZr86NhMjYA
2TxIs37WxIG5CvvYdHZZUfMaLp+000a4pGsXMIo1AO9cYemEwxKV3CHVmVpYym7eaZhfnKNaUjIc
h3Mc8Y0BpfIM9CXPUT/LCs7+MTfi6c6g5+BGE52G6xKwUPxiTB6XTM6mk3Kawan5CeGLe69LnVfK
zrjbrUTYrxPb4DcQMssTesBCnWNY/lrNgdgPtazvGgeglq0woMk4pBaO9RdtQXkMfP2zD1gz2Xnj
LiR9E2AYpLsGjhnBnU+TJeLdOap2DnGdvWLdLPh8PI69d20bzp/EwOC+Yl4JZcEhjGFQfPCW5oyj
Vo4JP3hu6cXxXZAhn3o2zQ75F4YVgBn5KfligJs7Pjd4G0wazk+5gic1SXmHHvApR8DchyBIMb9K
uVjGIk4IK6BPszxGy8bknJY72+D1ROBDI9cybjJdw8B7tirXjOQok6HP9lU6KZ/mlCRVhzXPnZh2
6AGQvbOpS8NpCqTVGghriXGJYmIvSfPNGdrn4K2gSE0Pp3BzJvVGGhGU9WTnmCOx1uMhlMTpq99Z
EkZhci9TweN9anXk2Z3bQarF+zHeVIbLs6iDyD9umYaw6SDdgtOO0sn5cpbZHFIhT5hqKEEDOuRa
CM8WDToz0I3mPjRnsZ9nBYtEhI71UgxD8eDO8XRJRXW2rgFVGyvceYa75dDcHOOMqqwwW0z9bTbS
eV/MZb/W28DBJzvHaoW5hrI3aSfTFW2j+im3IibQaCxInHaL5Z4Agj8V8/SQIjtu+hLh95jqS7ie
e5LTpt4Wt5g3oR0mQZ9j3Wu6d9eaIXsI2V95jt0XJI4SoDR9ysrkz4u/Gn432IOO6OVnJ0ubdgtS
xPk6zhL2Q1cUF4SOGO4vkUr0w76K12D7UZfKvrzyksFQQFra6CVcsjASJNnl5DAHJhEAWHbqJAPp
VjnP8B67LUUG8wulvuWRss9wYthizS+MftINMJvZb42By+gSumU4r4oXTt2yW5Pyatep3sjdshlt
V3IkfbRewn4bTAUwTdm8cHQVqPMRPY5FqQd3PebbA8HS6pA0Ubud7H76FoSl2kRarN1OXpl/jtPB
8rMJ80FVxCkucdRH+CyvsrP4fmA5Xwcij9BKG2ObVyU/yNVwghMdwiEVcN5PkSuM9QJEKzsfvyBU
uFVDzDYslytfqQt2uu4e/sVkrwtooisrCHghK/OCNbJyhD29ajHItxRDlZO2EXnZP1apU4PiLdot
ZosJz7b+FV9S+dnLAE3HnjFuW41RA9MASp2CLr/lqTSnXPg5unCsWlEvqXNFJXnAC5yAxQ3h6+om
axn1+JrDjuz1nOLRRMJXgjJUrDXM0sFQo86xwRbmiJud1bZ7CxudBamcPeNh0mduWb0jU9JIkFIb
tx9tMBJxhAuiK2udNBehmNknhFc+BwbRFUYMWJ0XRmfXejyP3d4Gsov+Wp6+w6N1vFjt7nsi/oz1
PAOStZFzVNsSMIEZiIVyqBYnTx/Z9d4aLRLa5xhIBWiZtyYHEgwprtlnUdYh+znIlaA8afgC6hG1
Vf5i0z9XvU/VYC0hH6qhMtkxMUws9Y10aB36dqrZTyTrqP6LvHaflRP0oWIM4x69PYm+tEP3mmBw
3thWHIZ+MLF8fMY902v38VzRAe2KyL0a8K36Thanm0ipep8w9ECeXjAmXphLyt0s9TjYTX5HWOCd
CfrnUVjGdbrozqyrMvMFqsnG6ivxFiK2vc1xrO7DXnLl+MYnmxqKr0coQGLGGaIYQladtfLoICgz
oVRZRfceIN8Jr0Qbqn3njToUpnK6rNvOvHPmMdZWDZ06SJRchYSsMXkPrWCCvcFLkF2OTWNdzyRl
r2vD6u/y2K39pjTar9agZZsS9smX0nOGU+dUM1JcICiQbV1mhWlEjlH12N7QiDKWCy+wEYFd68hg
/UtQaepedWFKor3XLxFo7JdUOWnoN9DNeVYWNBziJg+vPOyr+Cds86h5yoPEPoTtq4hVdaItDXRQ
bPcncIsaCUhGQ83OYMnbamxmaTDFIhisYova721EKv/BSatqj/Q931dxFFzoU88EKtJLJsOhekb3
qfsNaHMrPo6UC9o+cBUGw26g3PTKGbGa77yob/eccrWLRM7lI+1fAh0z7dFbhSb1FIeyq64wAlbv
xlC3lz2j0B32gelUJC1NuZUXBfjnDY4XEYvbjnE1E4SKnYXmh4McbkMxKEw/SQCoFcgaZXljZyLx
ZjbuA8EyauoTYyrsQYVaw9TqKUxhHnnZyWlm/uTVhrtxM4kOzur7rRROH2w9rZ5x5eO0tqxabMzM
mfdtL+O7Njfqx96Y2k9uNlmbYaTWfU4WLiy64MrSMaCvxjmRa7PCigNkbo7eiMryHOr0afADbYiz
tcVHdTMwoNlRQyMb32bgdk1Se3zUG6XBh+mINcZmbW5dzWwk89DC3tatBGlXihjtu+fefccyPD5V
rtl9ZbYv35TTOfFWr5y+9YmhkH9IygwTSeDioJ+7uY7XTUSueC+76t2OxvCmTXKTpxyTjKOpxqgk
51XUa6g6VChasmmgSRXNtZaR0BK6E3RrL1wocvO0mJeiUkYru7c6euV6kOWaJYfPEckxAq7hnFzj
0Jb6KqAU57rwsqzDZDlqIDxMrtr3ntH8e+voGJ07SM/79f9tlfMy/tqUbfnenXXM/9Y1z1rln//2
/5AWatseSIp/lkL91yx+L5si/smV/P1v/S6FGob126Jn2gAsEMlcmx/4A3XG0kngY1V2HfgvSE5/
SKGCJhhCsq5uoVGIs2TwO3rGFL9hFVzOfGBUAEt7/xF65oMosPS/oFYZ+KKlCdZDWMvh+QctlOWT
GilyWlcF6YvNoAJ2pqWJb4hJvxoAX9jTMRmHIoValnbPXWkNj9B1GdK3XlE//fDp/Y1O+rHnY3k3
HJ/RfpGYLJdT68/vhjFjlbLCDVf0jpHIoLkDHL0sMRCOAwOW1aCs/lkO8Jh5ZrhLti1ZeglwEErL
dz1ZvHldp1/zMyLMcVlmPM42TL3dxLPlG23HbFH+/R2flaIfDrLndwzMhqkfmqv+F6nVigm8E2Lv
rszRDmFhYsd+HOiHMbcsiFTQDxD6k3UsAxdnl8NmeEp1c5eTZAWyPBCwjsaWFlIqs2w2tHE5rLp8
idLJhqPlJiyT6CbtvWPeemw0kVE4JkT1mTA3buJWcy5jtpn5L0Tdn2kvy00hEYrIi4M9RR//KI/J
SQsJBdJMTluO96kMlyGXlQpujapAtlZj491XgZF9/vcP82ehxtap5ZMGo1hPcC/yj+Vt/XAv2voY
WlUbFlfnzD0tsj1hUziNbhB9+vdX+iCZnF+JXhYAGKjxzJ0/3GcVTaQz+/PyymXe9UoKiSBt0AHx
W6UYq/W6Z7/Ic84t/cS0Vf6rm2aRS3+8afgthY4Qhf2HMJ758eUZfcTk8PP4Si7SX570sAspu852
9py3G6dhAz/RMBjtVFYDeK3TUn7DGNQelDdZF6PDFB4gX4KjL5FF/mg2BLDWkTtN3yog1Gsal3Lp
215pIcabzvz70OsfQUrGXy8USByWDQi3oC+kxZr244XSsbAVNmV2lwYmyte46aieMLS0A6BnTlMR
HhUbQZIImDPHuY62Tolx2hfGIN87ibfMn6JQ+laZDN9i7JZvg11F8vjvl9iy/3KRTcvkJgIFwdrK
t9P8+V06RK/0BjH1MoFTj8657jiD7UZs/962o0ccZ3mt3w45B7BVFOEXQG2hx6OpdplVCZ/6+vyu
yux8pHJYhU8Kq8ZhajvOZHZdPZIfctcMvJlel0lC8zS4TgU/ti2uFILqdU3b4CYMDQ9DyRxwWqF8
L6fLrsvuRBLehFNB9XXWy/oKp/lDh8aNV2oQfJDxJFgbrH6eVyDokossst3nQO+tY+S4BpDHcfB8
pUcWx4xsig+aS4XOSk3uvDagNK7ZQH2t2rq773H+sQVe0CJBW/cHqKIQBiL0sF0gaX+EBpFS9WDq
zYL1qbWXHoLDuqpacUjLAlt47WVvmMoYA1dmnt5TFTQCJK2t8NgETe9PfA476Cjeda1yOjRVU28N
YzSGTWZL2hLxd7JZH0QUkAowyWXhMiLwHeqYQ7HK8qgRnM8xtqzcTmafof9FJ9F41b1tdlRFe4km
tq2Tz6+uU8IS1Ym4bwdMOFttHPVXqkfVewvkw/Zn0UEzgeE3hNsR1DpfDqU2Uzj07hYFcWlIMPM9
fVA2xBGrKfmg8wGLfpskHAQDRQ4NxsDMBj4LfBMQZL5rnHSDDWXSbxeyCHWyjQ5fhTup25qdYtM4
mnK8oFtqzoLbXtVdThd0zJG9eYuCSIj5uUV9lTmE4YalvPwqpjzpzGbVd31f6VcYtfN0PHpxPe8G
j6KZQ97EiHKJyMp7HZr9ISF72GMH8/BGTLVO7cEcASijUDPgedhlqao3TqpCnRMLFNPriIi+LPfp
JGHST2O2GOY4YnFHqYDzEkYXnoVbhxxDcD3w1XFCv6a5ixvOTFt84FncYCiseXhhJRlix8eWbnhs
6QMdY1y5yMjInr0K8HRhQcWszq5gaxdLUtSd6UfxC0HMH/DKkkUf2omoextraDhlGLvvWk/brL7W
S9HtYsvt3St872FwLEzZISr5xdjW87Rv0WRJxVRhJPNN0A6Q0qB1FJQoZE4+7Tkc5ZVviwnpV472
lO2aGCiUz2UVT1qVo1ejNy8n9DTXtWvqf0g/9AhFT0mee/nBbLwu26TUit/NS/B8myxC5YkpZitp
sYpE1O2CZqiKex7G5jEJUTC3fcU74KiZhfMG2XX2fBAGlbrM3YlbW+Or0qwDw+iPDV1p2ToMzLBf
y4W1uorP7PdiTkwCjCnFWGuXN8AMCLmyPlDebO3DWFLsI9K0NtdxGWOl6YOUNk/VVN5NEqjE8s2Y
JMcqJ/yrnegUwFtbBSGCVuThxzWmCA0tig0QNhT/4KNb/rvVYr8tuH2oisYgFmvzquOo/dLg5MJl
FfM9ElfGXNCJhTPT0syHifr5/sqpPKxeBZ2ol+hxPJLCVqb8BQ+qhrkN4sgogAVkyNLQWkDrt8qe
45PRhd3DWV+2R3R5SsCXHHZf4ArbtA6ndwpXjAVnYdZp6yNOb2Ijrp8ztYBDElDm963tqC9VE5n7
QSpC9W5qE3UtmJ2ZW7yr5G/PLWfzWEGNJsVqPHwPwyqoua7f4QCiiFXkSbxvRgFeoZAhFXHnipBC
r5ebM0FFo12ljVogDhy0mHgtgwFyZbyxEneRceIJ5n2iUpC7O2eVRO4zvLE8oBIFYnFWpemdcCHy
HpB7KO+ChrRsPhcsBFoNWnKpcl66LGeANKPIkfT1VC6//FLQplifeF+YZKhywv1229c2H1WEMZ/Q
czrw1amyMI1vi0bylQeeQJb/XL5liI5YOvLHRIG9WaEXHCLVjP1lTrMYrcV6X9NFy3Se/DEJhWXR
4Mvk8xuxgIyeseyTuyKnetD0ju4Qx+7KjUgR42AFZqGKJQM+4qG7M7uRqHHINjc5lVWRJvcuTwsK
rnTj6gxXsXThUHhuRbE4Uq/k9acgKsOBQYVE3iNQY+4qwcfq67KevqZZat+MfauX+5rjevqknDxs
93mg5e/T7C1ryFlx5xxAdDoWE2poBfz2SdMDVFNVhfUKeareTI2K7mJyzCcvTxN7bYtGLEINcyY0
J4YyxMyHcJOJgq/JjAbpHayiNOpvpHuBvzBA57uhlhV7k9jUUW7HYR42PGRUfTKaXjgkObBk8qQ1
hyWkXycvjTd4D9rENv2Ie6sx3joKkMlgMiUfDrES/KgxNyKmKioEQVxxWbDHpZ6zncth6Egnyew+
Gdqaet92b+XjYO9n5XBxUh3/+q4CLlNeFs5oXWidbpUbUu/5cAonVZGWsts8emAnQvfR0l+7Yukk
QIQjWLWMUwa35ikw1fdZWBvxZ6MEU8sYiB3Y9EhcFKJKVLfgViKppeFRCyr1JQp10MSotU56iD3d
uB2Raudd06Msb+K55yaNRZeYN7i2Zvsqd6qM3H4FcPByQemOPsVMqt0ASOKqKZcWuVUzy5y1o22z
jTGaY7MeMuE2u9mtufuJUTJ4mBiCtn7AgKZ+gltjPCRRw73Gkw4GF3b99qYgGsgCKyqPfCLgMrUa
e5zEvaLRIE0H+Qg2k4mJYspnXVpB5g53dYCPi4c7d/Smik2uJgcHgDoxgO/yQjZVZN6IUc/wyY+l
x+81jlp4mTYaI6GcHKUAcZVjEc6ygPffeGm4bTHAEfYadf0wAd5gWuM4EjYencSX513p/1dSfpHv
NixpsP/+Zynl8PYalT9mu3//G/8toxi/MdvmfwYnU4dOxj9lFGMJd8NzZaNJ+ylnlT9ElIXfyzCe
NYm+AQvPzp9+MuO3xc/j6IIn8nJwN/8Tfi/iy4cD3fIT0HEczvXIOH8pnQW+Xfe2DJwrO7K0QwhD
rT4VcpoEoUFGLEuztchTsziOuudk9/ijbO8LRptvUTnb96D3aXMwSvRhxxifUriMJ5vFqmMm4fIo
qArHxXA5t1651sx56u60TLA2RiGK/qNe1PRPsNvIzPyUenG7G4YsSa5oj/JqfJmZu43bqDjkzFJ9
mYCnywHkr4s8s9iHu/aWrYMgx+T1t7RWLeVOugouMrOqLtqezdrkDPWRIYB647n/YjHGfLO8Vufh
XcqdziD5Bflex1SdO7QbtVjEE4Pf141wBkvRRKd5isa9XpXWlgulXZHmCgjsyGEbYW1qAr/xRDg0
vqx6A3+13WZdv0JfT67JIYonBJQLqwfpbcRjRWoy0u+mtijvOoISa4KRT6SQvcfRHqfrsaDypBLe
EwQ7ZzPokx+YQ35rJRoTmr4RV02eNweCnQFu+ji+yIeSGj0nii89LXv1upqDYEW6za6c9FQz2dxl
pTZgIJXBYQoo9MQyk/FMifEvJy49pzRA1zA1mnLvifhb34tm46l4/GwbrqJzNmZoVbPDBiyeuS9C
9IwSJa0co1s+5XH+hE03vgTQxjkvUsNz0Gn2xjRJtcAd5PxeYTpfSVUM7QrjuU0EIvbyezlTrLYK
9Kg6LHfkYz20ztbFjLxkNrN0L0VfAzmSsuPdD3INP28wd/pgOrQ+QB+htz01wjsrNdKbaWrn60BF
uh/NVn0RmYLdcqyPNq9iAkXi6L+zkqxhik4m+145dHXYeTVd0D1pXgpim1snCtQNB79mW7Tt+LVz
raxYQRAmyJJq1Tup8aRfhcoydrlM1EUzB/F+tIv2ogvI0q5GR4VvERhKHz6NvY8MkDfUZ1USsoeH
hh53UmfnNGGIJxEFcL1YAmG1M3grWkD6T1jImavV5iS2ZPzriTJYGTPwjoYtGwOCn1pOxIDMu3ei
xA8LeldZjJmHumy2nuKhUfOmJJTEYwuo4DFs0FPImYrovezncuO6mbeXcepcNLb25lBJsjKjKOFI
Tw5rBXQLdWax3fsmG4CtTHTvKR6mdDU08lQFRXzDgY2sVGjrXwbHyLYiNpyvaR3Mx3nMyeU7A9No
1TBVaYxOfUaxMW+0NKANR7rBtkfyDP0iVdOpVBpxLtcNyiN8LlWt2URFm6kX84202T3MNZt9x6GL
E3kDJAKelrsMI9gORF7/yY7s8jYmwkY0FtcG2Z2Q9HpFvNOmaoD8n8evhEgDGglPduvnUtWrGS81
7YBDgmQSwFWAhv84jPWICFsb2wij6zryJi5JZwWXkVs0N45T44p3m4eY3fCdZ/b7hlHXtep1Ji2j
PNo9X+tVQg76EAe52rvKKaEoCm1jKKOFu1C50z2dG9Vl3g7iQQj2YbFu1GsM+ujAqoGaNjE3OxS6
J+/HpBa+VxLwHSv9MpfaRi9KdRtadbMUyhDXEC4Uv57LXdpFBFqUhPWAzW0dmko/zLXxhlxC6alV
Fwe0KXHI295ZxQb5LioUqPPhIu8a+hnWQVw9aLKaOIgLs7ufvWj6Rh8NhE9NToAWcuuWTpFlN2GQ
mTBNEeHMgEfAPLpax0TsV7qYO1J0IHEA8FnbuipC33EH51IfC0pNQAIePFL36yClu8Is9WjPATPz
NY7xm8bqpoUeYTvPPATnPUXx2jcjqbXVqCKomI7VvyfUK3KsiMu7tibVVZEtW2bfr+Gch5uaGAh1
fMOwcwco4n4V1NGzmMPuosmzu7Yse+KJTuGbTVOdBBQvWDc2jIPRnW90I/auWwpG6lXXB/PGCskE
5laJnEeJ+hoRbFj3MrK+IWgNzPbHr4z/F4vEAqIMUhX5jWNrF5Fm1auystVTNZIKtYxqvnOon1x3
Zuk8927Ed8N0qjVJyuxgxOl4SfuuxoIVEuqwY+slzYaCrXRN1iUgPjTrpfFKQ621Hrv5MehZ0oWa
xN4enCongxXY96SqxnWlzy5dE9ndrBsHdg8wSRrYMSCisX0xRLO9tYwHyMRp+KSNdu4nfU5/n1NE
N0nWTuSd61B90kOnPnpmLY8hpW2kSdPA27Nuaj7IrAs4IeYdPSc3tOJ2TL/17EQFT+rb3HsPySTy
Y1Ay0dQcBpSeUVw4M/4KupHv0snjVlNN6ZLnDUKfeKq7j6k+3IZUJ21as8993Q0ukrRKdyVYYEpr
yZ4XM5EmVeXWgS9UtO1zSHMhjXsrMWb1hkRhfhHaDcu3CtRrFOvQXdjHn+ahlV8NmWVfMJ1qV3bb
3LZmbt/PrvWoT1Z7leJpu1AKuiNGpnnnMuPf1LYcHjmM9EfbyZecW3eIEknsMI3L3dBPzJvnjM4M
ttjtMRYBTgF8Y3SzFuUNjaXp2uXJNSCc3RphJZ4Zi6sLj6cyAUsjGJ6oCNeWlhH7Iq/i5Chie8vw
aTF3McRxrE8j/BkiL3m2iak6ovZ3yB6oVq+WPEx9Xbmd4Y9tBQetDr65acgSCCMDT49HQXXUZvu2
zBb+lKVOFeOUz4O3+GhayimrOavXcGTmd7vOHqK8ID8JbuE+peZj2xlpR8aESJ+TmJcDq+qmioyX
oCWen5dWdJ1U5QVlRNPl6IwX1NBYj9iEimNNi+jGIpq+YyjjbeMxDV6afhrhksTNy6gVzoojs7cp
BzEcpEqgcjntiyJUTpqGQH6oloNTeCYQvmq9Pa2byeQ86ibz0fMmHEBhdho7XP2oXXBTcoprsjIk
UkxiM9Jl9oi7o7hnU5WeitrlUW8bgVzFKnWT67LsDLLjYXWVEc7OHbMiI6U3l8q0inWBlWMXJRZW
zEiEF3KBCTYi6fdhkBDFHVTi3NTUSx2o6jW2o9tzREoSWuMs9YLVIMHvQv5wh5wzXzOpT/wUav+R
lE+xtV01vvZu4GJKrQkdBWnrkAbi6FqsHE5bdKjN49eCptsXh5G+zjb3NQ+xIfFG3vM+r7dJXniM
DMBvIb/rgHSTVNuHc4NqxvwkT1aGlRaXFf5PH2abAwgyryOf6ua3oKP5zSpmKBC503Qr29Ox/aXJ
Nftev4v1bKsEdhg9qHiCqoCjPuuAz0O4Ypri6ntQBfo7ARcbpjF8hL5TJcCCLtzgu2tWbD1QpbP0
1sblZK5aneLuIGh1Gs9FctC51C/oruFejEGwkaAQwJxQT31sWjwF4X+xd167kWPpln6h4YBub5K3
YRkhhaRI2cwbQkpD7z2ffj6qumcyQ3EUyAbm5uAAXQVUdZa26Lb5/7W+FSj1quwhUIIH9qwX+NiV
s9Fa3IDhpB6tggWJmr4f3Wh9o30fCiu5xVTJhNDpydLwYn3jZUT3avf24BHqs/LgE+XfwxaGpYno
8Z3OPAQxqGbvndvckJ2eP/Rjx12j7TjMgGfnnfUcVZCQkUgklDbAZc71FSckZJomTbYi0BRsdDcT
pOkDwJJ2+A3ZI4gX/pv8G41CbzPqXbFDfjRUC23mUqszobqlSnEogSBh6ZL5V4Mvz4jHasPeHOgT
rKRV65N0G1qigHpdDNmPylO1Qz5DselK4rLr6YjfWK18mAI6j2Ul5A8T4a9HnWkqrjzh9GsxObjQ
09JYRDKt9kpapEe1D/DeGailwFz1rYvZFudlAICKXZ++yk22MHpfpwvfD2NXVgmhhonQr9SsNveV
iuo0FFTSbPQgKyHH1FhYCuOpcZE/DmFnPtdaLAYAOwXyKSLC6c+pCRUv7tyXHhX6Mkya8Ssikls/
srmtauIQ+NTjvOvIUfdmL7GKb9IHwdLU9aoyZsd7DXmkXXh+Yd/arMLAMQYaNlGtsUeuiyzdD2kU
Pfh2QguerSdnprq7QWzp36diqjf2fLO9NIi2itNw+hKoA28Ur+urRZ4N3VrSctiNUV3ee14K/zfM
+aMt8XW7uK6yL2ANKiiSWvlUBZX2ohV2+ZLl/pOXWuq1qRcgqCaQZS42ppkngPUPdpd6BcyvuO9o
YGcrD2mKdWiHwDxmQflqTcCTF8U0oFhTApUGQa+y7IeTbyIkTTx5Gydj8hzhOX8Ey+5tbd2hYTTi
IMag3pHeCBjhR4dnArMzpKQ69YsVv1G2iaqIjxC4D2ZfiW1/wdGDvQ7SXXgDgejfJnZ97PgVAQE7
H5BdW3NtB9FM+KXygUyp5VRBqAdQu65tRVvruDN3PXDyXTBN0bUIunCXGo51k6BuQ88peZlU5S2x
8+kx8E1PLKSGEpVGJ5OGig7yOWaq0Hnze+zxiLJulTGfVklbeNtG75Iv9PnslTHxXlWT2Sw0YGx7
wiIRXbHzXYahk7uorbRlxLEs5/w5b2Q1UV0Lg811mKlinsH8tTOWxNjy2kVp+ZI3vZ3eanFUG0Bf
MT8cSo1VANg0pSwkibJWe2ypcvqhjCAd7jRHiVwJq58f2Cnjc5MNxfAw9UrE+qo0HHibO1TVhqWD
97B0mEaOUQ39Fbeksu1N7pfwXYxay9t48b9Ss6sDAKrDDa1IMgutEoVwOlxo0Wun7VvMEyoOIAEu
T6W688HWUA49RH6tv/GVWqwUB9m8piOMGFI6nrRe/W96asyIXawsYqPAyReBtrYt71C00xqU4JpL
3TpThO35kuvttAH+/rtJHaMS2g8EOif+oRRpHTF0en9TFNWNVbBXhODX/ZWLj/MTN0AzzVnpQwaV
dXoDRNQMHHq7/ibUVaqzHIGVZJNZ+T9qhP8pSV4oSZJAJT+rSNI8z6vXH38UJf/5b/5dk1RRaeFi
pZJooOIgPOz/1SRVao94VaXAyvYvqOS/q5IUMjXKjnOer2aiCuPd+re0S1KV1HQHMRbJ4ZamOn9T
lXw35f2uMmFjYluIH0BTGSAx3wNMfpPTqGlQqCTNKlc2CoOIzQWQ67F9qTrHzKp9pKZWWC44b9qs
BVaN3FFcGzRl+jWBmpCi2C7lo1n4exrCdmwcMgXZjkSaiApYjfDL4XVBO0nO7uBtYcKRw3ct2MKC
E5v4t17renQCHA4XgooBwAm/TVkgrrUuFcCm8ahYyiKwFdomHdaCdG8gSqI9YvTESWFM8zr1q56B
Tlyy5QKQdx+VkwYR0zaBFR7tYGgD5xYWwbpvHDoDC1T2uO9pWsKKTlqoLWyYRwVqkS9yGt3/f4zf
/+0kkdgC5hftvy7kH17D7Ocfhfx//ot/fTSSd9yQLD0Y8aTNZ8DU+S89pMWXYSPJcgRNNHRgv1Xy
rf+NvMfSeZ2JbjJ0yvX//mZMgw/NshCP4QHG1ehYf/PNnMzrZKBiS6NlMAv0+EDlybw+OnQgKLZM
LjgNcmHEeODk9NvdOKNx/DjEbFoWdI7J4ANncTKE17eJ4uvO5OLwBIpgL1ih8Z5yS//vPf8PRpl/
i9++/YqApUEEjGJl32rlWz78bMQF3+GlC2Ey/X0IwJv0WDuGQMNuqccRzMr09vlVzD/itxnMxLr+
vvAxdzlI5qyTIeRAR7dD3uT2ps2eTaEaGhb5MU3LLY2WS6rHDxf0PpqjGahxSYk8tbIjJxkawUEW
fp0vFmrN30Is3wR6F8nq8ws7NxSLwJwOjyj4g3dbrSXH1UHjwgLbf8ALCeAWt9IBG0v8z0T1X4r1
TlpT7/eQTpJO5hcwAMs5uYecVdSRbVTlZpB/ruOEeCVJr3/pDdOwKP0h3eac7v723eBWoi6AG4ry
GdbDyaAi9DRdycPaJSuJoFuTvyHHMxcEXJsXrm/WGp6+IzqNo3fNMCvuvI387U2PDfD9RaFULkA/
SkQJ6QGuUtrRLtZVBHZJVRKvqw1UHKbg0OJsuzD+/L1+GN9gbaL5OE9NJ9/ziGQ1UGNkDXaqDGvw
mSZU1v7x8/flZC/8/hDRMhJBiOVftSz9z4sckMuNjaNjWGpKbYvAixOZbxneTaKrE9wKKOxd6yBA
qdJq8/nQ594fQ5eA9oimmncsfw7tCHPQfN2o3KiPx3VhiMbHNghwx1LUpFwYfoBELMC+9PmwtITm
l+TPO0sZBnmpPut0oWmf3Nk6UYqIpEU0rEpWfc8tCZsuVHt9bfXMOsKLky+GCvBXTeDrQdZpN0Nt
8AiiAcH30PXbsKiqJz2YDPTVU00cc2MddUFBckVYAnXICodH7lXqCt1Lt9E6z7sPVb0NFlbaRkCj
bZSfkRVd1bKzsOIU31K7WEWgvdZJrnVuCwNOvAebKY4mVzFiywNdLMBQZZsvZFhh/K3aaBeoiXUF
tk5+JW8+g70jxuCgloq8SvBuLCckalj/BBYmnw3SAr9NggYsbq9bB5Bc2PCPQRFQLrDK71JPrb0X
pmyDlLJb1daUbk29vkad3TwO2Wgee6/VCIew8EbRid2ZqRqzHdLMDaV65DRgiA62ilmVWuVAV3ro
viDA44fEdnMNIGhc55NNoDcoUe3geQZLIdCgpZ+3wdGLuv6706TjsZsMalgSOejS6iLGC6effSa9
l6BoqwgvdDI9yl4KY9WTUl1Vg5JQDjebX0qJS3FJGlPzRMuU3tggiaLtOoKYrfkGC5MS0CjwS6ak
Ji7lKOQqLbzmOpGe0WClojrqicwim44yDMFWjQWAPFJuIt/82dQA+fqxmTnkw6M56T+dzBFfB11Q
W2+V8KWJBwpziClj0rH4kMiG+Tk1ObrHgB2qG5XMGHjLeQjE7jVP6GcppQ38HhEIoX3qiPopnF99
KjbWVWq3waFI0bIZFDu3bd0Hxz6h8udnRrdyKhDuPbWIbY4YNF6w4PhLhyLZ2h4gA2Butf094U54
dDXJAPokl2UZNds+tWMiy5HExfnU3jeFxx+m3MOLwR77mBAeN1dQ4j25pViklLxdE1xk3toOt5NO
qOatUvTgK51t0w1K1SjaRbpMAUlRI4GoRKQoyDNP+2LCkjyO5JndR1BUhwVVHnELASsi695X0fVW
3htwMsPhLVG8G7138OLHNJbbhallLZ1Ez7wdAyqs0LLIiKO2sx+LqiTZytK+aOnU7aRTyDsPk9K2
nlU5lpb61yQLUVcq8b1ZyJlwDXeq2wal1KFwY93GipIMS9yb3lsztIR9Fj3hJgamxm0+BvYvkxSo
X4rPqaBW6v6qwsf6FiBoWvttaWqLmRWzVmpSU7zcme+HR5r3SpsG4PA1d7LuhmRNMqCKd18b3ZTD
2zXBEuaDCg9i7Y02wAC8wtqW4PJqK6hvv9i6133LPBEc1bRU3S4kGR2PLIJ2UPOdARRcs79rMbav
knL1TWsM/WtFGx80ne/cDpRJH9Di0hSuqTeth1ITV73uj3dGF8+muMq+I1gkeyXLsT9W4xwxBTr8
BgGfvIYYOR7q0hFXcWFk5PdgPi7GRt4Xo4GcfRont+wVu1sKVWeAUpsnr0T3mmNFEEiG89aL8btJ
KVYhvrVN5/XqLxNcd7oISKm/L6su+iEmWbtaxyREs5zwH08Tq0E6YlOMmGCbnOSpVV2E9YoNpblu
VbO8Sno5RYsgL4OHSU89jnZdws8UXgCt27HoxVnZtOe39R901Gn7MR7LKxHppNDg8SyXkUT1Te85
cnY2h4UNAnq5skzf2Qk0LptGDoCPVV/ZVkEckq8uqZEubdIONhwQmrU6VtWORCc4uBAjx42HqJw4
+jlhTKfauuy8hvsw0FcAIA51I2MT8IZEu2Ea6+JjQqObZgfyEJIuy29U4CZaMpblYjXuflpqNm2A
QYornXCkbZ+HgPtsJSoIBcy1t8bK6pECeOj9qkmZehrrob91NBVg8PzH9UyK+zSAaQbAAsbeJKz+
tkeRf1vbI6xzG+jAmnd44u4SdWtqYB7IkmdILLsxWweoAst21J0ZaNyobzHgv2eUQODXRMAfNStD
gRcpx0NW+NFSB+X9xcwG72uEG/+pC9N02zhtthViQmM7aSprtZoue/TjS3Vo473M21eiWpudjakp
5kxOud/2YnVe3jmTj1V34yCmx2gcCGVdoSI+yHjoDgTjYPMdtXxwAdVjlAG3BFdPNzoq3HaX7qlV
D+ABOKu3QManiWSFmc2uDng9aSfIe22o1ZcGRfcxNGseXZHaISIXO2M/IzF0gapl2DDuvf0w2TDr
K4DmuVUqD0Uo+36hDDx625g0vOMGMp7ECH44Gn86TiJ5n9JmvvK03Nn6kqo6dGJ6jAij7C0HUVDN
hRI/9U7obLOslPdOKZW1MCuU3A0pmD6yqWU1L3a1o9X/pCr3kkKsoWG1yJ2auDFPDndGNZrkE5JC
h4d02hOjG++JOUCKrprNOjXV7GfEGr7Ta7V+gNIO8cK3/TsZKP5tE7XOPVLjbinNGnx6VWRbuzLk
S8NZFE4pzVN6ihlb8Zp+11b3lOGuaWKIsYra/ewyT3kkIsNbTk0TaStbkf96TjHll18jjoH1YBr9
Rn0PxAZX8uB7MZMMPZc9iot2rYgh/Jq1tX10iNIlZrMVz0Y7ms9dpZjPkSjGG1YquQG8p6xG+rIr
pTADl/TJ/EAubfWFvLpsrRNauFZiY7h5v+uNIG88r237Vo9V0qiynIWvjq5oP2sARoN8mbUT4g9e
xM0gcloGJWx+UtibXTo2xrooQTYPlWryEVvOuG8R9t+S9ervtDQY4+X7uzzZ2nR0FBOwF6WGq4mk
rhurzjCVJBYIDLPpyoUQWXyrllG6k+MgXxyqR9vGU02xsEMWQ3UyefxTOR3gPU0Hraydpd8TfrVU
xzhgCtS0L9AX3qp4HG6YFMadjnzn1qqmiV6JaNEk1cX4pA7kwtJ/x8I7kcOysTSinBMHoVsbW9Gt
QRD3pjX0eG+2wN7I3xjukB4rEJWL4ZacCJZuiKzN1iJzzkA4lFrxSkcCh4xWC3BfDkm3cyp/wkdk
1sWhb+jvLTMryx/afMg2LRMOe6DMqq9w3TS3pT8Rj9HKjm5iMh3GXiv2pfdOrNSoftGSVh5qVc2r
JV14dswmmPSkY9pQfYzqC8r+ZGjUIbB2u6OFhtw32zZaljzNAbHrFCrM3nBC7U31zfFgpmW9Mvte
fRsdW28XQ5iTT2zWoK1rPswQyhaipn46VrGF/b83x7XdjBWKHbqDdEu6ogTbLLth0XQ5Mx0xktNR
JXmBDpEB22Dp8Q8PJnoLWBle0F23DZwdjz96Fxkaju98Kj231iJzGxKIvItsD+kUlf35im6tAGQr
/awAT0Oo18s2TO/1Ia7WuR1l66kIlC1ne8SNhiClA1E4jGiUxfdGN3dZ4lC58r3uDuiMBZqf7nEf
KT/tEuOUZmYvRgspPYlG75rLiFdElTFzCr+uNrZd9es88fUt+IwOB5LXXNEiwhtF2psFiiII9sWE
rKQBAKQXRO7R/U6/W5nyvZ7ELewYY6MPfTrv28qdHViA5abwoc8RloP08F1mK7QOSLc1lTa973G8
c2L7RcmMaolcG6NgWJdEG/e+v4iNimhouwEuIgoTnARAUMzuoP0XSNxNZuzsMBS0RwhbXMYw8tYS
6AvRwkbXbul9gUlpUanHAymNaPBoGyIAyu8LU5KtkPgqSbapHlwFkSzusiwuXhSfQABWdRIllKL9
XnSWvLe0yhxWiV3Eu7YbJyQdDrksJHi4SkDbdEUrybwz7Wq6i1AS3Rf0YNdd2loo94YK284k5Xog
HWfpkcmyTWjfbIhfoBoHaG/vR9oIPbop35xqSq/oahnuFCfCIZEwR9VVbIB/xPFVnb2xvde+DhzH
DxruKjxSOhK4DruwAqe57YmWI5WVUGtnGynYDhq75VNMEXVREVdgymLaqtrV4Ik3MzBhYXeY/W9N
wi2OmWjyTRuO1VdZsb8Cnh3oNyO2HsLdcDHSScyevdFSvUWZtcaTOq+QUktBtwZ24A5Z1l4FoW0e
grRunrPGEO7QlP0+EX53haYk/t6YkRdAaOXh5hjD7jqrSH+ktaUu0RCarygqc51PpLD2Wqyb11XD
CVwqHLAXY5cBDA5rs12PSmM+GhkmqtiDS4LhpwtucmX8iajeftFzKyMKYLKXvp9Ms+Y2WkZdCvRG
BBNLYYDiZ9EqQ7+SY8VMFiWRGxVdsiikpfJ4WW33I6eKVU5ezKLXCFari2lVh+mDkoQvQ9ZQ0GKW
X1CzxbHmkBAba8VzZUTGKpYJ1QvVtMoWKr1DdIwj04c8TvPrZkr0XVV5bKVoQoyeT2RqXNgtnWfc
dKnLcUkqP8eG5uqir8ROa6X91CgoSTh32vQiCNfTldB7TAyluWZRTO7YKkavA+CVx6iMy5eiLQZr
W+Bq1xahR6ooqCBBTzeO2dKYSpMdTVqOGQTucPgGT4yGY1v1RHro7U8fqtaipbJ7PTh2dmWws/2e
FcRjj55Vr6QS32D9IHW9NpRk28QwtHoe1TVR0j0uwLJobigE+jcRm6FFZCYkyti2KA/k43jLuop0
4pGsH02mggdjTXMwviNRM7wG8U9et3f4Rjh3+EnwNFTgltTR0tZalnpHBFD5G2Wwb2ZU99/Mcbif
Wr02N5ZEjEgisLalc8LMXigGmR1tco9Rvm+WQVBWX4QK1pKwrhohb6tupq5DNMQb7yp2bm6DQFrX
eiyRUtCQt3YBSd1uFOn+G+ks9QIpY74gTtTf2P5gPXDUYT3xnfTbrBtYFb7zDBenv1IBc275Kfqq
HHClmqH5w0rs6hb3+/jmE/GEqbO3iXwyxujgOFO/RT7LHcttewsbHFWJ4nBTCJJ/trrAfAg7xLtR
G/LBVvC1e3wzGIqlsxGK2DZGgFXLsZ5mntHtUExyX5YSdn/fSOLEMu81n0Mmk6q3KRMS9gNbaMoW
sxdxoSMYcIdakL7Y9dkXyFE+O1yFenPa7HCHp0cvVOSdRQd/JSOJfy7ojF+aj3gsj/piXbUhrX2E
i7dEMAXXiYjR9heRg9ZznDyl/Rqh9fSCmIBFptt1h2Z4NWG5OnpeK10SzdtljodlO3ZGco/bUF1A
ry/Ipu3UbZW0D34LQmqwVEmkfD5um776FjiZ5UaI3pY9G8E9E6niol7ortnKWfsekNVN7Zcx+988
+9WSRkVsQFO8GWVUfK1BjZUcAcogfsvVKFLRXLceOFEvWlEtAaCGhe6hJa0JCj5NTucmTCpkK2BN
kNAYFXLOTZlRRl7aQeXcZGOVPGSpky3o7znbIKxnoruTPki9JsEOUb86sVWpSqPaq1P/3RKcGqDe
42IWgkNS2Y14mOJol4KSWnOccBVdj/Z8/+LFSuVT6rM3Nr3chyHUJivKHd9rPWxXuTrOen7W17Hv
XYJcoGQxc0fTtajUI3soSeWMMpHS2tp300n6KzMHmiRLg0JKDJLF9zS3IxvvVyANcSdURT/Wg/Or
HEzlyefTe9R1qwpWos4R1jvV4K1qHGXEBIh8iy23JQMaKwKyMKIqyGu7oAL4WAXV6TrhYZmbUzjh
aH39Xt82akfmVkj91SqjZI9D4hHcxOT6ktOtY1HI/7zueq4zYdBsgeRrzyTmk0qzX5WqpkDgc+kI
i4dSL7ecAIZ1CX5m+/lIJ1hU8U9R24GCwDacjsspAtSZpn8VtSEU9N/r9yL96LU/cOiTvwJ050Bd
Sd1Ke1JfA28+USKC/w+q98bccJewAoBBnHYPLKMBkaeSVGv55lEArTsUmNYvjHLupvII5xo29mX9
vdL9W4/CHDyzNVN6MO/tkI503aXpjAPCxai48PzOtSPAyXAQMijNIcb783WJhzbrRtJKXKxBiL77
/Ju082+fP7lLY5x0d0LR4ALteEc0vTlM6MFNOz1+PsTZl4P3T+Ph8HoANvnzOhwnsvtKbyq3YAE7
+K2q7/WcGOMJePZLoNBqKbOOpIiKWitARHWHU/hSa+fjp4epS1BH5ftzPlKCTVG0hpITCu8T346e
vpHLXovL60SJyh1eqWz1+UV/vK+MB9EHQZGAHnv67REHqNpjYRAFn6G9ggh8tALNujCffHwXDXro
QhPUd3QDcsvJjfW1BulsUpI46s8BASj586JD8ktB8/PLOTMSF4GAy5SaMEC+noxUhyFEdTt3mdoy
urf1lTFaD0UVPX0+zpnHpFlg4TWeFTPXuznvt68LwT/G+gr0wRSq6yp5VWxgXXG2DEvvAlNE/9hs
NP4Y6mS64KAqvXSmLLQdPBEzM+GS9hZIkMHpEMt32fQ4ChrTAHa8alWalPjUqvS+QsBV1g2YCgKS
LKqENWfpFOUnKZrmFO+FHRX7hjixnd8H08FL2AziSjEWrU/JmM1Vg7e5iZq91SXDTZ+3lLHGVpLJ
TtlhQfTRdOFCZzvlSe+NVibFfQyUQkM9dPL5QfxUDAcesws9s3l20ky9Qdr7Balh+JpOc1piggay
Sryv1YCBFkQAB6cBA6BM1yEpYUutJAxNbx9T3BrLBmBFlkNT6e3DBIsRFX1crusY0BzhP9bCqyJD
xyUG/ajqdGuvRArGdTM3XRpc/appbB1YSxytOMdb17GJliHCrbAcmK/BqIEKtXwi47hCh7ulK2we
p1p9g+yRXVi0zrxrBGtrKDhYs1j3527pb++al3YlbdiR+xIp9XWnOcaOpz64PrpU3Gye0bufv9wf
O7/YhSzTRMCF7IVs9T8HLOFtdXg9cBjaDdyBME/XpV+B9jAKSBU2Hp6A+suDSY75JUjzx1eAtjYW
QvBjSMhOP9/KHzslaGXmctYdXzrZa9+QURFCr8no519fJF1eZiMOPPx12kOnOcKmc2wzFy4WpdFO
o5JPObheKVFW7SDthPaypss2Lnqdyt3ng5+ZpthXAaFWBRIJms1/3mFMFcTv5Fnm1th0tmWfPfh4
12fER/XX2wBznqQ0C4WR5XxQtHIQrP1cixJXt+1nOEnwE+2h5SsyjL9+TdluIJhCGIUMQ5Un11TM
ni6/a4lZ01rSlyXVFyO67XshN5w+f/ztDTRVwh/Z35garaTTZQs2NjythEw3euuGqxRjltNIoLBb
k0ldX7iHHz9ABmNrw9ZA0NU6Xb5KGsSBbFOuTDEfAkN5Lif7RzQYD34vL+xB5m/5T/0BQ6HPkVwa
y4s4+fSgOYaYTujGGkWyNiiYOLlIYEGRMzVlHak2hOZ9fifPj0gyCjK2+aM7XV7MwrJJA43dUuv2
sVO85jATjNl7h6Q7WQStfv35gB/f/XcAofG+62DE+W7/Np2JmnNHQ7aqq7TtHouLa5rxbSjVC8N8
3NjMw8z6Tehu3Mz5//9tmM5WhzDkR7udois4KTNzR6Spsv78Yj5OlYyiqWw2oKthxT956QnjHIC8
aLFbQZlZcNxbJlH7y8rkMSobumo2TLfxEspe/7hSMioTB5Jd7EPEcfx5bV46NQ76l9h1ULUu+gT0
4DKDyX8YHFp1U0Ynqyari2iS3IyDJW4D0qxr1do2A1zghGbSpmdbNAHT+uJAmCH9qmBzMG8LsKuI
K7Qx8tHRe+n6JEddmOPPPhgbOJLBJO+gNf/zl6cvGSSUNxOXElW2jkYn2isDxY7PH8zZtwxdpQUv
Sge2d/ohmSXLiJ8nbgbmC7Nr56qx9mBbzaVdC7/t6QeLrpq9LfMQzJiTRyGgXWdFmTERQQmim+0F
u0Gql5CP52Yg+BPoEW0O5dy703um6gPxUjEKghqfjsUyNYi2WQNCeesi8+930ZwZkYmyZOC/BrL+
53B2E8oO1UXM2dH7Md+7KpTHtPKeP39G5z4ebCpgQLmDXNjJvRtq2AZTzseThMK+i0eNOrsnflBx
zTeVL+zvkJwjYAmyvrBUnZvzUMSa7KuRDH449FA/UQPD7GLX9/XbJlNep8jfFNETEKt7nv6F0c69
8Bx7dF52TpYf1IIJ12jJoo7dwsdTm0phHUl9UFaf38z36KHTN5GbaOksRwYy55N51Wn1gZTfMnYh
2ahPMCvyjYLiGDyg0SUU6K3+kazSHHRg092WYxYT/2gZ28BG2DWNhaS7FEG8KPHTJr1NU7Zto0un
21PYKvUXCgVgWeYv0xDsf/58syqsirAtU1abwaRW2JSvWjMbLQ273oWW/dwOVCesIqCSmZGOG/dd
vSPx+ltAW3eSRbMvejzIVJEcjJzkXDsB1/H5jTzzrdHYYgsKEhMg6OmCmGCgj8KB7TZpBD+KSWs2
aoGiyktoYo+vn4915kXU3oWG4PxRyp5uY3RtVFWTtA538rQfKgWHVSrU13okXxJWfbRGM9xc2GGc
+eg0jbI9OxpWrA9b7K5KxqHycy4vEi9B6CtLXYQJxcxqWhj6WD6WVV+uaMl27t9fKwHczlyRYoN4
OlOaioPmyK5zl7PaTSmxCeKDPCJLhocW+0+jLfwLW5tzT5ItG2UAXZvxsifTGN9K39Rw311FJXJ9
1Dpak5nRHHtih9xUcpD+/ArPrDlcIHsog4WNzeLJF5h6JFqHcBXcofORcJsktKhlXq4MZHH/yVCO
6hg28GJEdycLQmGZYZNmHNE0J8/uRFJiTbQaeRW2mnZh+jr3jhp8ULMPYZY8n6ykHbqYDFILZ5W0
fWiD/KcQmO9qnl/ol0e7zZq/PhwxgWG60AUMIIorJ49NGyi46/WUuRO8iIVq9V8qvN/k8cgLA52Z
mNEWq6CtqTxj45if529bxGICKqx6HAGBpTz7w7C1p/Lhwith8DNOZuU/xjh5J/BAkrgK/sVF1ast
THCb+1rU4oveSm/hJbDVQn/2TfYVidUy8h/zvrJQDNCwaW2ADr3WIonKQto9hBetFUPTYKGNiRsa
TbWfTDM46o4/LLOx8756hZpt0xqFBqfbcYkWztsBckWtrQ7wArUKwV5ED+/L5KQoLjKCjzZ5Wleg
egjl4gA1+LcRLIkNCjQiVOKwug0GK9hqVT3uEoFOqzOC9NCBG3Dt2HkIc8iK3OF4k1IrqhYBaiEX
hVK6yPupWHvkVKAYjPtr7O3hsg+hD3x+e8+9m6zilsZ78u6H+/MJyhLk7Ch5N9EKvpZD8woq49Y0
lI1BxLGn9Pl/8Nmx52azR/keZfzJt0AmbVYaUEfcpgzmmtNNr8e7vskubF4/lvwIbcQ+QeGPGgHA
4z8vyxziACusk7koSY9FEVYIh+zvZfxIJ+pAV3rZCv2bX2UXjkzG+XGp0nJHOVyfbsicIi1B+gtq
Ivk4vQSDikuoMpUjanc1WdM454wzAyTXTdyVqyRDKaQA7MR8AFxCIPUVUa/sDLVVNlpjZksPdRgv
XLHF+EEby4nehNZxUB/QA8XWRDp4o0lqLyTN+5p3D8oVUOckcAg2kUnewlT464jfZ9UkxU+E39pd
ZCdwDIceQqvQ+PfpJJZB3URrS7H0p9IQlx7FuTldQoADTE6ZwdDmW/bbHBGqtUizuMtclaQYvENk
nKvbWCNL+/M3+dxc9Ns4pxujrujSJHf6zLVFohJzI2eobbD+fJBzC6KETk1fgX6bPM2TVEu9yEty
212aTgRGigyAhP6cxwHC2nq8YDo7Oxj1Ss4sDu6200OErJiMMliYiHBkykkU5rBZbJCBIahsLuUd
npsIIO5RwZgtex82v8k4GjJCSkEsd3XUa0suQak8k/r8swkxbwXywp08xZHPG1lODxz55zKpbp0a
Raa6SLi/7NOiIQmweuja3p6ARenU4le5oQSuWZTNcigc40uoerCVfJTNfh5mB9u34w3YrfHRwheA
RtvzSWH//Emfe215zgZlJOq3zunGsh+8WokDtjl9Wfw0HP8p0Lt7SLiX7vvZcUg0Ru2Oe+3D5qDG
2B8UiHJcTqIF1ZzmNRuVfpW31YWF9Ny29d1bbHN+cPjfn9+h0TvIuBFguQ3CccDJa2h3xyoXe6B4
t0lePqSJc6FQce4F/m3I0w1rNJkJQh01dZV+2Ppt/tMxExSucl/ll2z37zEDp9sETqQ0ydg+chY+
OReBVjAhV1gp04w+fmuC4lcfOnLZEZW2pHzrLxXyJ5YpM/I6LGfBsaLN8qwK5Y/T1c8kQQXPXmnX
bqsjW8bagtkgaKp7f4LfaGdJsky92t4MVm8/2YJZcyHJgwexVw+rKZ5Lm7n+S+3Bolk5UXCFSkh3
e4MnsVg3bPlCu+sX6WiE6zYddYKENMFir4sLb+25r9iZnbqUOHhvTxuwCaQV8moKdn7FtCPwRluA
qX0WxXuI8XMTjv2FAc894tmegWPQoth6etsLqJFjyWbIDUtHQRzTVsVm4vS7Mvw5Hr6ehamff5hn
LpF1fXYbOxhxPpwuHTnaaaMbiRs7vrkOqlFCHWOHNkZ5/RxV2uSiQ3r7fMx3vcbJ24X2BlTpe3LC
h3qhr4zwsuwkdQHbO0sANfLeDDTAO8YoroI8SZ4KPbVXkYlk612nbAdN8pS2U7Nu0BJtlb5HMnvh
lzpTxESVQNVnnrWtD2dffxBT4XV80fXkoWczIEShSjM2UIRroFHSWPCmIJ8SydrxqwDmXB0jvza1
1ee/iHFmDpt94cgxZnCCeVoqVJFGyLQJU3zLkUFrZBY3h0YyHRFYZuKKx2Xt/g97Z9IdN3Jt679y
l+eohSbQDe7gZstkJvtO1ASLEiX0QCAC/a9/HyjZlli25Bq+9+7Ay1UlishEIiNOnLP3t9sMSSI+
C3BKBU1ki3xFuCbEoFwPzmDuJoD1HxJB4W23s/mBsriCKcMjhW0i36HsAYrYJV8mFJks2f1WeFmy
RTAoNsqo2rPEa/ztmHT+JoiPdp07d3Bbxyu+tjhRJr4IT0lAIEth+s/mwj/79Q34V++fCRgedH+Z
0L9vHNFuAzu3hBX4RT7eJfhzz2CMpU+pZSS7v34p1JdoDXCjs20sVdAP1RRDp6Ypl20prJ1kI5tg
sfSMMj8PkyJ++vW13j6390/90v11OL2yDb4//leGV3RDmXI46F2icMi0JApnnsGCwt7qN5VfWEeL
cMTrdoSqYttGfGO3BjlsTiH3sjLV4e0F/SXoyX/GZrivEZ+W/68kWi3JOjxz/0AJbF7al//6UrVp
O12+lF/++2+XX/qXVzpn3/7b4fW///b9r/wdekKeFUFRdE+/ZVaZLOP/yLNip/w75QQ0Cl1FnwAh
8YZzoEb4O+XE5Y/4juNkXkKo6dX/FWIDrnme0x8eLeY9WL8J16Jlx6L6J0xO0griqZR0LvxI+48T
/sLD5FiGWrlzYQIxK5uGTbQ+h8fSWCuo8P3WnKl8B1bhPULZ5uQSrmJ/QPmcX9Z+AbG4GXtHrG3Z
jO6mU2J6dHrR4x4lkreNmfIkcrLHddgHSLslugz8cknV77thsm47R9fPVR/1V7g2yTINUOB2gB6U
P+NHUsMuLRmE+SorsWHmyG19nGB7L+QlrmSSjfBK4lpkG2MiAlZMk0/3d0Tff8ZqOaNrzDPzU9bB
plwVU56/Nr7RXBFe2JMAQwjLFXYdwngatkwT4yzpviuEPbl/qCcl5h3j4FHu9WTzp452pX3eBVgR
m8TF8hKjaMS7S/SycR7wAsn5jWaD/kFTls6NHUBeCEUW385ZTtO6WHIm/KLdDEkJ4jjSdb/P6Jec
Yf6tsPiJeo6BWbbjtUJbD0hOqJH8VSe3H1opiQGSmyEy67Y5w3CYdvsysmPH3wcYedCTqNScTUSc
parMdY6J79LB6swZt0WVcBDfSFTkAySIOxd5EflkaVCQ6v3EYUBo57bPsYwo+hSAasAR9BiWvkWb
LPjmcCXrWOGJfcs/6ZZmG3Gbb8koESlh+CQB9w04ltslPqXper89aQD6ySZuzEX+Y+rBio7ArYsI
lY/ulwfHp7UzZu5MOg1eulVOwnHRn7ff4l6s7+kvSut+mMtVPoCgsz7E36Jixm/BMe3wFiPjfguV
+esL3n+wlP1na+L/RRF+jJQC1p5/v+Bd1BUHoZ9XvG9/5+8rnsmKR3XETkkVTOINC9DfVzzLgwAV
mrALaNGgQbP/uQD+Aj4v/nA8QROcpj8iEEqdv7IA4j94twC6Hmvg0nFzGHwzbnm3kcu5zu0ompIr
X8rQWhdvyOshgX7tNl4+nfkUMZjH8jhZYqoceRG/8bbTOHnVbxBuH6eqXAdm0gD4nBuo4zWn9s+z
skmKr/CqrMQC/a6bXBVPKf1nUpdn8zVz4jFcWbgukHajepk25RtrHI18/YAozrcPeJf7/nx0UjVc
KOlVWwblxPKy/mAImbz8QlqhWJMiBmxqMk4UVBKI8oJMt7JqxjAwqY99B1bdtpPiIPoR0+7EKfML
cuIO7sRSqIbEw9lbpF5ushYLzJ2T4oA9tPPPDJrVh74uoVWptBrx/xh7qKZAIIHEDwstnqzutlyX
Mfa61TTN2dPoarl2OpT5gFtPSWilkC9mS1nWZgDz3266ushGgp4d5WJvqVgfiPRVGhR0lHNI4pPn
LptzZ12n4GzPscLqay0BqB4Hy3c/c0emY67DLFL3DNHmQ6sE2IKjr+Ix33LoIBB+8FikVSCTYmtT
Dl3UuEVSUVATToyTqp034+ez1oNISDc7Y0CGE3tc61z2nX+c8QyASl9bmuHPSGJH3mUEUVO2jzQG
rTK3wh4DNwMgD9mihY4iP6Ay9H25kYwzn3ukArda40MvOIeNrxgMZPY1zCz9lcLaHpxLu6IPZ935
ZWTtvDb1CTqWC8IUYPVCMy1xHwxxjtX4DXnqqzziwFAAwkhFWDkoNPMb8r/U1lwgqtghhiuGbP3K
TFPSuIoxrzfTgmE10FOfB1lek6JmsnWlmHXyOrmyUjnetl4n0k1EDsImDVVS4bdr4/OAHDFBzcjd
XtsYBM/MyuzRTnK0OnBeV7t5ocvWtiw+24BUHLx0GhitWri07RuiNuZwQfotNuBzTc7XSjhxcZ6V
aWadiar7CCK3b9dzLdzrZYQG2xRAGt1fYR7jhZ5bjnB0qR2qjc/lLgpUentrtsabaqHvJm8gXrEw
ectmwfOCqMmPthWTnYOwrd8EuVcd+sF0L1Owq6Dl20KcvAX/W0WzuZrxrG/yLnnhNRKXsiCDuyK+
9BKNea0T3glyjKZVDHaY7OOQccLc7yWgj22+4Ik7y5cPmZ4v4We4N8uTfRVZ2tz4poMVsLEuoFdO
qyQl8j5w8HYszlkc5440v9YMR6/qBaEcy3Q+qkYwR+hzAMsF4XBT6sX7LOuJlUvBs0YNuTX2wNRE
egRFxgK8vecE9inI/ccZsnO1IJ59I/JO+YJ+lmlj4CrSw5Pb1FilMmxcZA079jNGEqwA3TTXhJgV
pnNLtdlhetLOV8MPEmyV3I1dvlCpu7b4TBMwXKuU5srG6KYmXOW9J+7kksYLkaCvP4tgiu/dTOCs
qXPlfmoXdHZFRgG/QxqHIijstYNVfNnyi8NgevV5Pjbw8bMs20Y9IVTOgugeXeZFg6z6YNV5Y7Zr
3RjXuN+1BGGRXnrfLvRvwhfye3JS4e5n9S1IlVO4AMPdBR0OKQaKeLAAxQNlpOGKblbwilsxuQ6L
IAUNVlevpKWFeE0XTrksEYZsp1qYqwmOeeRlt22pAurcftzkPN13llHDPbcWBHq4wNAHqOhwUC2C
4NyYeLsFnJ4tCPW6M52POFZpIS2A9XHAg7AZUaA8A2oON84CZq/fEO2+Gp5IHMIb5WT1hV1ItHy9
P342RkDvPRz8r3HO+CN3G/AJRaL3o7CdD3Y1l1fzAo3vF3z8tIDkrQUpbyvg8oyBzMUiSsyzbtC1
7WqqVVidkOoDGj4bgaL3NgNq0q6nhW2fZJ0BbaSNv4IXMc+qvvKfHY71hBzyaKERhZGfUBKSIBhD
z68Wjj6+ARIOFra+DXUQwIjh7ERs2Q9xE0rcTW5yXkNnuYaY2m9a8uG5swvQH0dne8eYrsnWzQL9
h+cM3yixFn/c2Hgry+rtwwyho1sLm2ipJU7AImGIAaFdX6CVyNaGQ/bAvKQQFBio6Q6EF03PSB8Q
4RJb4OARvEiWQANriTYodG/fZ/RqL/wl+MAcLCAvhpeEtyIc27M+aMdDPUapWNWRWByoqXmlepk/
lWHdPMUBiQtVV0SPEmj5sRvxZCVLRgMG3GmL4iTbA3OYYJrgxTTpMCYbwbut12Nrm+2BqGxs2bHf
PQiGhhNkHSi+RuqCUF/yJBozMa8b7cfOliSK+rzCetOuyyWKws2mMl+nyrK3eAQd7mM7fBCj767c
Jc1iGpdgi2zJuLCWtAvUgKaxrpcwDPLjh7WXmeETUeH6zBQzG31QmWBedKzTnbcEbfiplPeR36t4
ZbikMK7iKEgFDufx1C2pHVouAR7/Wxy/nel/g0C1qFx/VRv/T/Hy6aX8qTb+9le+l8aB+GNxGkHB
RWqBhuuHZkAQ/EHkE4g7dHKc0N+UA997A87SAPBdJgc0EgjSAtn4j96A+Ydt01sIKYsp4RiM/aXS
+OfCGJAk0qvlVVC+I55/L17ILGlzFBTGWWgYIlulGb65LhT6N+OQ9z275TJgI0Hr0bdbhmy8jB8a
abOl1USenEHzVFj3eV1OG6czg6ty6Dk9/3D/r7+1Nf4Lk+A1w6dW//ff3jfJuRaiHbpoDA1pki5n
kR+vxWeRMWRwojNILOGV6an+AvGgcy5QFVxLryQF6NcXhLT8p7uI9ooxJSxi/IAwK3++5JhjiLVw
5J+xQGKSjZq6PdWqg1VdG2XtEh4zhI80ixx7ZyI6dzB1w0rYe/VgV/vGxWTk9j3Yb+rSlGqEejqs
R3gvU6jMTxXJCKcmBIjSRHG4H2aVosqb7HUVjdX5pKzypsgLgpgM1T5YrVedhz1zAYPotktWtvRS
xBkzaSeukj1cr/KQxnraNq0ub2xDzF8o0ubHJBfq0ZfxBeeLlIySglxMWZhoWpz8AjGKF7DROB2z
yq78OjtzfTVTQj7YZpqtwDwXOxdqCYku+Iy7uhrOzDqqgV029j7ocUCrZhq2Fq3TFTGz+uhbbX3J
GWZYkdHqvJhFTMSFh45rJi7orKH9H6/EGNJnDwy7/qyDsiQSpByRtM247s1mIJMVWOLO1LZ6Jkon
HPLNmChfg2+bhnjQz5gq3UmfkkpmO79CnbYeIp7ztZnUAAxMp6w+dcqXzxn+oacszO3bMDZDPMKm
Dl+zQMP9sHBMMXOypxqpNEeIneoDc0H5OMmnPCkWjD2i/iuz6AMwbCImWa8buiMmjeExmOZizaaj
NrZd8OxltNOQ02TuVerAURlTkx2TOMmkCb2ttkz1XPp1v6sB+OzYlykHx9orX0njSvZJlXyeFGLH
GCfZMQ4DrP3WDOtoq7k5SRUVF01Rzk8omI0bh7jSkzlHi6Z6tPKDhwXQ2ORpFpkMtY07AcP4EOE3
PcO/rbfOlOYnM4u711h77afcmrJiO8cz51CjTcNzboHeAPb53LQF4p5BXeJoJ7nTL15NKF7EvAgq
lhbyWh4/hNrAHRLJYm9IwGI0xjhyjaACakyfkN1Sj05ee8wMJUC70CZce2aQvbgBIAhigj46hNRs
ktqbwFt4zW0EKu5E5X7tjsNgrRilCx5tvj2ja/d0yQSJbFb/ZSTXaOcqo73IqaxAogFK4ZN1P0k4
F1ckvNqbHCLQbeO2xrpqg9umCRkMuvMHo1Mc1WaOxvY060uD3O3tEHrDXVWF3Zpc6n43kVtUDeUT
IMnaPksx4fRihY05mT5X7MUEJfZdR1gyJ/ysWE2BtBdeTNZv8rjM3S1hliB6KJK8+RQMSBkPRWjG
EynBdMlMWJ9GPD/mehB0SUcbPl7MjUCC1029zu6FynAvFSsrGxlo3vtTm2yBL/nxBjwi9TPHac5X
Lv22VdjS4NsP/ez5H0ZyPYKdP+U2R7pg4PgC62gKdjojS1Ss4rL1dtSlc0wH0OUnHZn2HJEaxdCs
pps4XMeeEQfOSiJYSo5hZPQgUHQ0uM+2TIAXrkxQS8l2QPNjP2bdYGByZ2bkv/pjwgeVtElrnGN3
izt1l+Nug0VrhTp/NlyZ34V9me6VWbEM16XvnvUmszs/mghdihybQBnGfc65O/a1uRqwsgJbMECQ
uCQRnw828TsW2N4zuzRMfzUyIqGlMofWvU3IarbSzfKfSRmM7ihCh8+eXTFKgTomdyJ3nENdjFy3
E9VySCywWGizOk9Jnti2jA+rdQlTmy97MNTHRggCYv3et3aWp+sNKO9q65L+t8aaAPYSJUHJJxCF
H0dYIOuGSOy7WZsR0LbK6OQGT1p5MzpCfhF0X0+8kDTeASOpj5JMo3nTeXAqtmoa6gNpuuEVGX3e
C14HXp9T9BZx5H55Ywy5n6/zoOS1GZ7kz1yjLb8SIlo8OiaN4yLPvHkTzGV9F5ecS1eaEYPF4pF7
Hd/b71DevzQT+v+xRYqbajEx/PsW6WOq4rRKf6oDv/+l74Wg7/5hA7tnhPxm63+zeHzvkQbOH0jY
BOp+HDKBi0r2Hz1SJwTrjUIek6mz2Azh3f+jEPT+4LchTEb/Rklle39pSPSWNfrjkIimKO1WROQo
rrCNMXn6uYhh10ELPMXWWRBMFaOLHs2VMkOi46upOaWDsx2rCC4Uiq8VI5HkwewkJn3TqUlti7tL
UsoW9kNPGLUfWdFW+bgkEnRER+VVxT3O9CrCzh8cmqi9j/poRNLVNS+mI3OVbhQ3+EEzXn60YRte
L9BQEtJtQ726UVUf6yQOT3Bb3JdvUdVgodwXR3r80OJAeWy92viSj/74kDt1OX4Jof772Tmcn+Ey
qf2tKpHqxWN2NEkKC/ZeH1X3gyPoZa1ioxOXXUsrbcMigvcKU3tLkDxHeBkQT+lzCl/pkqVzgwZy
vLTUWGxUngQfKbsC+6jbPuC2QIY7s8YhPmXSIl4694D8U3Sj6wwwFe6sxoTtrPNPgu/yMR74qqJ0
JdpJifyDyghPJ4hKbAzfc9cFHtlHwB7TLcUjoDehu3RP80JeRyHQyv0YJeJgjr3x3Ooi3XR6HB8S
k9Mr23xBe3HuG/9R6pQ+nO+NZB3PaiYeaKQGaHZRGC/B8LNo7SucxWQDG9j77lUTiJcOnN28Aj4k
n0XMorUU2vfj4Cx3OUfWA8+SpTZ8yx2f7MG6J82N1mYhXX596yyVgaKLd6mRT3Rrv9USRqOsyEMO
3J4Y8yAJKxZN1VT5bsA6TbJ0YTvrt3+EqkoEeUQ/zKO3VPFzLLD8HdeZcv8kSWN5BglfEl/QltFj
JgLiYdzOC04t0ezpqkji2dqg0ggfA5r5HTt9FD6iRobFrIIe23SoOHqgvOdtlF2f7gef/Mr92OJP
dpLWfZFEw+m9aANFf33U8zGsJq6PS7M+2rEFEQfBCW8ICxe/p1EiO8IeLJJzWCC8gMFqxnjrxxl3
t+wj+VxgHIk4mvd5yX5NO3ITUDZxTAcAaV9GfUEslAbAFx9a2RMuHddZ+5plNYE3+RIHL8bl19K3
JmGesFoSymuDoNN+5Rkmf8BEb8kk95Y3H8ztkuptA/Beq2E5OcyN7xyEh/lkHBM+llm38tnDk7UW
BuY5clBt8zpIe+/0dkXPp4DZ9YbnHIaC7vGKngz3NyNm/nFQOUnwjqBJBtzO7onEVjC2TJJRg7WI
RxDOppLPDYFUPXLbUZ2R6uqKmxia4zZ3mqQ+pEw39DbyOsehcYSofBU7BW9rKoPgxC7lPYk2m4zH
t1eJZLaLz4oJSNiaoxgv1pUeTxnZGtZlqAqGlkWuSbDQ3rCEYeA3n+/agYz4HXElfKS2udwfzMmm
vmynsD6G7N/HSdX8ezillAlBSLW7aDxT2uUGD0TIvgtjE/YROGtw2iChrWmXNrL4Os+0WMjOMpZn
yrKBV8WuEYCE73qqBHi9Y7dOZD6u4R+3GPFDG0Tm7A235gBXtUdO/OzwpEGjYmMOeE6rEgavCOUJ
oBpcCTcgYtSGVL3Stg4RrFUgvSal/UvP9KNjFk7hIx8mGUtY0a3bLJlaUHNKy+dWdDoiUdUe73qe
YkbLQbmD5G0TgBa7N13a6s8ZCnxnxVklfCzCYrwLPAJAiBzmwbYVsYqrmBtw8kwBTaAqc3iFM0mg
eg04qeCYGlbUQNwy0IhLgXc2WKH/uWGoTV+vqkmkF9FgsDjoXBxi2vsHjh/c32lMokfl+6wgNKR6
LlgOVwPJnFsKXTvmaIHQ2m4iKyToXMiDQyt7XxcBvlDFjnFTWbK6ZUblwcQAogkSMk/sBw5//s4Y
1PRF+KVzHqk2Pcv6wHotSJd7DOJu9HcmS+CpgVr+xSEc6b5z3ekgcZ5sOddE6zo1HhTHD+SlQm+q
Jm9rOLVBup8sgqxsENxUl9XAfwMlaQbltK2Yq9D2jHO+AUOhj4FLdB/RWP4E9nqOnOeJgKljO0Sg
zBiOWocOcshFyeFz4w4DDTqSTW1vnUazT/JLc6k8VX7BJQsmeA4UtLhxaqbziuS5S9ISb60Shy6R
WRbsQmJDtXUq6P83N7NwkkNvhvu290YQZBBddJODv+wwkudGF11XPX2/FjZjlQIavLUqmIzxQGBY
G+o53vdd6pxkXpn2QwQL7XFICnVXDOI6cfvmlgY604NYW7cRSsC7ym9hJHdjG1w1aJXOUr+QWzNO
zA+xPYxIHoL7Oba9pw6VxL4GWrpgoKs65PshC3nWcy7giz+coSZGwSHta42pf+WVMnG3BV3T01Bz
Op6ipjVvdFLX25Gx8rZYJns6w0mwSnokpdj6mE1RxCbDx0iOZQHHtHOznVl2HZy7pii6tWGJYts7
Tb0mqLG9t6s8eE4JzNBshY551WWiW5WmIQ+95/BUD072cWR7PzKG6y5p8n4cFKlwUhMYzmRglAT/
VZDUNezmTY8Z824Cqnqcxsy6yS2v/dqLUX2cwrhuXsaWg/9N6tHwObZ06w9xAVBFNuoDh8noJkmg
jOdLKC+hSOOpb8lpKzQlje+p8w7+3ZVS4Na0jT9jNfnll6KlfdvMKVMU+Js3Wdr2z0HqRRvqeu86
lCEszG5gUJFX6HWYJvvykgFRfmFGjV1tQNMZNyKv3Y0vumHL7fJXvfDGcwkr92PatWLt1pIYWGme
56Z6hDDab5OM51Rn5rNlx4dsyPTJQA/+YRhip+Q7Nylk6drCmZIkRx2L+MoJ6u6iI/8D02a7yn0g
9DTrO1bNWo7iNKA04h0G1tpOkKXh07a7ls3PuPQEj4qZJqdygHYDQv0pyoS/qBPLlbJrQahim29I
Myk2lux5DmzwnAmMbXaKMMJvIRgvVB5b+A7bKgx625bOTRAL7zoIGUrUSkCgVRW5pRo2+Dqf4ff6
bX9Rq9xdyS5+8MzGOlaMkjaWQ0p6XE3uDlB/ecfsiaFPRvmxA6qYbkZ74Q5KczRWXevh7ph0klyX
oyLc3DGne1Op/jhpx3zCV8QC5cX1BStQj5JHgwBvy/DGaU2milWX8K+2kEennJvbxC0LnE6VHra0
yDjKJUNtnXci65h/eeZGRd4haLPgVOfx9GBqIgDhf3ePSZd8yKIyWmP0CSgocOs99JLcel+P+Doa
7ZzD90EEacbwGcMk2Hmdx+fQEgPoreB1MukO/M5TOzi+Lt+Ess3XcnSbnUg7dsciCRHw+GWxl4MI
HmXIG+/lqO6irPYRgzZRtmU7JIua/sGmKcJ8FUTRyhwVjayIqclKZYnYzFOsj7gEaO2YydQdRyXI
R7bt0dnxd8YLvxzJ3fNZb14zzO5fCY8kqyInX/YsCZlMSgZwZyF6sG2xlFYSnxck3omQbWGV9boo
M2+bGo3cZlWfroMu6C4GqImbCBX/eupJegCqax9z8NGXsw6k88D+ll+0FRDsfl2GY3mdtamDBsCt
b7tyjL3bAjjqjKiJZMe+Jd47IOyAFphtxrvQqyq+QCa1YO5Z+VXMJgvBfTxVudaEiufhuM50EN1o
yoBl8idZedFafPDLHsLz7GTUWCJ8jjurvp2jAXlFGSdkAnfTCT+de9mQAalAXjYGcgm3O3fqoj2O
VjPtgyqFiey2+j4ZyvNmaI4ymMdNE9rNValrTVPDN/d926hzC6XoXsXBI4XasPO12vS+EjcZeLOC
UVOe57tsLBnP62QerB0U95n+iiA8k2S3qs5obnozcjxTfhpR1dN0DW1kBoRpFiuH/IKAROH5lHfK
KD9P/aiZ6E+ENya0oLdMud3uU9DKe9nhzvaRj3Qisvdo9B3jEI3evkkc/7a2iicJmz45VgUprien
Ml/aIZQXJNyDXA14Fg75AGeU0f2Ub4M8S/zbEMWk+ZSW/JMaViqvouta6maH83ellpwMOTzNiajR
Magg9q9jdIjX7H6HtmQH/R1faDn4/qCeXLACLlFHaI6BPHFOfze8yCmWIk+b9Zk7LUcnN80oEzur
oHL/oWXwLyYXyy/604WgJbAjCHJy3luQAkUxTzZ2fVYkhfvCObUst23VUKvxMUC1TbELckwYqUdn
Ftznv3r1ReBPEBGe99BhivLz+V8ak4XBZ6zxJEn7Hpx8sEmbdKKUKNQZ4wiu6rV02NcGKuXvWXH/
NoLJeqfQ4ibDNLIXrTUmQsxr724y7m4jImimBl8t+e39EHfiws8b+77KNCcouDq8+V5MNRkwaF9W
JllNnAGq2C/OYgJ4fjOx+tMUyUQqxnCNpHOGd3+yg8Xh0E12zGHGV0ocBof2g5smNhASX7+Gyvpt
XOafZkjkJFoBqEfmRwRCvfdqkgg/Me7Db16VKjzRQoU+ym78ktPwS4im7z4nBb7gy7gPOlIFlOdE
cPDRvJcXRKEUbHes5mhUKqGuStVbl6XhzfJc2Vb42Cct6HSyGdgg5iqiVi89/WrGphPSxRHtfGd7
BkCpBhz4Wdp1nC1k5r7Ubj+0dxq9n97NrWWREU1QhiM+zhwi83UUjJzS48h1OODFHEBzton70nfk
M61u/co6UX0N5r66w9HFMa5tND8PZEE+m6UYx1PMgdhYNkyTU7VlRHD8dad3i/Fe74O4BgbJD6or
UUt8lyqxvJFZSVA/vzVASvQ431gK/9ve/O2Qe6HX/fvuJkNunf/U2wQ5wd/4u/zTDv/AthcghINd
xHeFL++31qbl238gXqBtyQMd4uihffl9xE2UIUYHfpwF1cVhtKw33+XvLn/kmjggHI60ULoc8VdG
3O/En8vLsWjrsEAsyFamc+8WtsDvp7IklOULKcvo9BiVRY65GXCPNe2GqAh7eswKOlk7PYEbXCPs
c93PYwSy62TVBGPaO2kIei15ExiMAqswwiBJtmeejA/KLA0AsxxiwbKDyx7j3lhzPGvIKHEKZFnO
Bhu5tq9Q6EufBGlTGsND0i5BLKCX4iXgZApTm+2vM12SOHScNgz/6KCEal3QywmiXdVnpMsQ55RE
lfFN1/HvF97FqvfPTUd4C5XBxlzL/0g3QMT787JP8rhVt5D2v0g99CEZobGfLNxCQS7GRRjTAjDW
o5VW5dfGU+l0L/Bv8tJsBkG8n8oa4vHhh2frX2yD9p9eEhGTWHvAB7r0t3H+/vySlo5GWWsVv7LH
ughgRRoTIiK6RqeoUb0U6TjBrImVrXJEYmgEMzw5/oqo7Dp/qUc9NRTHHdnUWJB6bSbbOYrxBczF
yEexbds5YeCtPOJDtt6cN97lPOcWP0amK4P8FZ7fzg9/IxL4uYgQCASXZ5D4WA7vi1sQGfSPqgQ0
nGNq5EX1xQRg7925HNPr27KI6vn613ePb9SPnycXQuS8OBI5DXDz3ttAJ0ZI4Qyx+xXJPlwTHGlR
jijONvmGj46fiStC410nWbHdFEa7llbs97cMEqvs669fyc872vKWF7U12Ds2Ut/7EwXK4mQL+znz
XntNaXPpyikDA6pKw/Gdcxpws+v95ia/v6LDlAYMLTZnRL480suD9YPMpGL3G1K7TZ7zmqDbc8Sz
bflgYyRQJ1u3vwHvvP9EUbO4Pls2Oa2Lovz9hu1ZZpwmOEA/9jTE5kc381Uwr7JMTqr6zfuyf7Zh
Lr89QMoSmB4pf9zW907TeBjNoqh6+6HSLWkBUUczIt7FmZPiiEyzoZMOaV5zyf/5xtRSIo+gjx/p
GrsqWMkxKOhVlrazfDPkQDleE/glRH9vQtSBq+Mn8fQ5qbOEB0KMBt6kVcBIJaXpFHhdKOmyRvx0
T9o8b87IGVkBo0LL16ysvoz5WINF5N4cDAMiIBHcNYEoF79+nN7db+4BZaEDZyUUtDtxFPz84bpu
3Ial140PXZkhE+b9xgZRoFAzivnx15daBm4/fomWz9RZuBLsWNibIT/9fK1hOW1IS0T3gajfrtXR
g76EIpHzVjkv+bWz+fZUF2x/3IVqrMZG7r7/m+rJ2EgplE1urkt6OXLbzCpkPRGgocGoHIwc2eZ8
0pFMPBKd4PMO+8npNF9YTjuR+yGdA6ftdyn5SWTdVPbECW5lQL31ss0cmDN/hmp/+cBnN+MqNP1Y
7/xmWC7cW4PP3ma4yfJJZtZbXo7fN8vn3ipy0pOtHjKb1929Pbvonz1WhChqG37hZJUDyR+/vqVv
48N/7jP4zxgvojKjFCC4G9Thu4+v4R0gn5HR56J3/A+Zqlx7Z6e2e+blgRRrsATtjjo+PE5BimVI
igiuBxONx578PXJjIPfsQx07qxAtg155Sds8wLN29HUxauSUSdAj0Aizm7Lyzc+9FFquPGUk09r3
Y++Kk3J9TMxUX5hTzJALXyc5NQb9xqfZD2RPO5kzyEqizxCbCKDNI7HgyEJbjq7DWofqWngtYytR
GNjokI1uWjk1WyvkFSa6EOdFYdPTyWTrBps6H8ps3VrFR8OvXfqHMQOJbm5Ma+NI5d/bdTC8yKS2
XLi+XnIg40xrbBcVQ0nf6R5Tx0moMEwDlTxnAPmcd6F+JexT3ZGMpb+QX9dBcuiyXWWJSTLr0h4D
CMK76FmJsj/ncL/llI0LnuTy7KkLPDToQYQGnsZ+fT9naFagiEABrtD9rUGr3Ih2Mj/ZU6s/WgwH
H5LOZa4xeuUx93W6FemU/oZX8PNizQOxcGk4ZTELhEjhv9+oaism/8ONq1c+r/E6tCMMal5RM5H1
lOn9pqb4+Qv97WKAXil1MOpjg3y//c4CDZgKq1eGKiW772jeIwqxiesp84ueUHUSN+O6vOkyB8HF
rx/9nxeut2vzNtkFSZxiEX9fYXUugX3I68rXpqo42mLXZdZWOhYl5a8v9PabfvqOAUGEuAyfMLSQ
iC4l+o/732iXud37SfJqDTXfGQcbSrsi8HbpaiaFf1uRRHiL/wASnUkkkNw4vUyLfZ8SIToWLQUV
ZbB3xZAiPK+Mxn9gv9XpCkpu+1iW2l7bbYUn3G4tcWP2WfW17JzgVEnDv+ntyX4Ks07RSK8tkwZr
Tru4BPW5MvzSu/aGfCi21hC6Z6YKp9esjlsk0J3aWTEMOXNsnfXM5/cb3uU7SD43fykDmAxyXxhR
/gmZYBl0SfE0zK9Iorn5Seoke6f+P+yd2XLVStatn0g71Kak29Uvd9hgwOZGYRtQL2WqTz39/yVm
RxXe50Ds+4qoqAoK46UlpTLnHHM0GAwv6/LUOHH16FnxshuJm6w2qrMEIhacZna/fzKBufO/PBn8
qWGHEvtFOjzH+JsDxSkTdC8p4TUElFQoHxo4BQsGMTGBQNU6MGwAwQ3rAZ0Y85uawX9bnwjYia8n
KaZhAyPSQjOQ+idvJQw9IL38S50PTYC/uXWNCW94pT19bLzau3dWWb1rLROEJhJFMsk6LOX1jGND
gldhbOA1bwKb9fPvWhQ5slHJHNTuglOetvJdHQxIVtukH581oVQfMaIo76wG1uNGLM58QFwAKcvr
8vTeWLkW20zZfIFsYZo3DYQlmRFqgY0rZ+IHn1npVZ6RoefMCtgM0VPwJ5dGc+/e3lsfBkzIIUUH
+tbbZrQTY1kdJl9V7gc3JrHmk8w9DcVLGU/22WDtv3+cb9AqVhVsHdPP2tC3KW7fQoLY2FRdzdH5
DUmDf4ERPCzmZNTWZSxJ45pt3qWdF6TdV+nZ1ac8XYYrMjTtO2uKvcPvr+WHy9WvX59Sk+0T56KQ
Hvet2Wo310EfEbDzLcWjsiJxuE2+tBA+pp2qdbBRtmvMkWscITdD4GR6V2QiOGU0mrsekVu8hToD
wtS1InzIh8qYb2o6o8bqs+tSEFCuPFgvYszScxoQAbJp8QqZN4SRuNkmlYzjNp0x6oSkFsijxW05
FOVgXUOYJl8ynUPmy32mb/Uyc5wVQS4PWPgbOoMD97RuFaN8y6thQGKQ3TBQmUlYnvyi+oTSRO+p
RfoPA77F56yuvA7fQJKTWImFs25Fbve35O+RGRQWbbts2mVIyEatqpR4qlAyIUC5tGlzWCVb7l/r
nLFfnjGQE6n7eeja/AGy7kDeq5vD8SF15E/R8r/u/fRAULRMkgSjeZt9+e2ObDkpFQC+pS/VqDrK
P6WlKVqnaE3+pTuM6bdYiD5++qxNoMvwzRnn5k1VAsq7X0kj73P/G0GRnAXn5EdlyMjSNH2VFiMw
4e+X4D+/JF0txiiCNRgAA73Bbr2u6ru4KPuXxY6xkN6geY+m9wkxY1TLv/+oN1R78yXBZMGJBUgp
cNLbMpKn7JTz5NZfqbmCOqTiS5qPuPmBmmyHME1S+W6J18Sur1oig4W9R3FTrp+KPpSUtijbk4XZ
FfO0+K4oRIiHQTY1bkUEWdpF+jTOvl93p99f9K8blFkEEYaelPk8HYyn3hYA1IiRu7h289LooeMq
Oisui+8TMvrggX1e0EyQmtAOf6oHnH8+mJinApjOPuVDYHtz6iQk3i2yC6znNbAcd93CP8wJJafe
zTp763iV21cnGvcyJFu5gsqzU13X0e7VFkrY+7xeZ9q9LFrW4TltnCJG3Cdc9E219mlp/nCXol8r
QlQojgiDH68J52QE5/HX8iVIZ9nVY9c+ZxGNAY0LecDrLaWtaaxXDXF6ogWQvbixvCTnbeob3wee
aoTWtDRx6dPFsgDr4jvzGtP6/GyfJsdvi++vkJCfSPCOYBlT8dCncUxM9kTIKCuVgOaep9Mwl6d5
agi25YlkdWJAIzbDzHRveqmiuySTw/KIHTmg5kYtq1FTukVhumF7zYUqDq6vAt5vlc3M8iR65/qb
mEfEXhtvSPr1ltc/Dh6wyWRpdmtb0Ns5JgUNR+lmdB5IYJVkcqKcpLVdBy+k9e6UmN732Lfxs1kD
7wWPjUy0PDM3w2CQ5FDM+Eu9LRBnml4O61q+jAkty9KDzhrRBJufTZ9w8oQfyUXY1+IYTEs23A1z
WAOvabXgS7ftGcGy9xZpzEeTcxbz4wg+zKdZqaYV9uIyV48qyoPpBDKgkJT7TaSPRqDXXGbK0uPF
uIwLa2mJGOvoXT7ljr6E02L6aTsZDIqnosTlbZMRahRC03xM4QnPe/0CQTGYlpfmIKblte3E4oYG
Np3wZY+5OJtYxUFgkfXRJ5Ca9jkmITRdvSwL5Oivv0NJZXV7L08Y3WxZcu1MKFu2BqbxBTrhoxfi
UooL7bV8p/T1rvplOXPnAtSW/MA8D1l5wQhsBFQhgdZ8omcZvbeWiWmapSaqVu/Y6M1yaeMBHM0r
W2KE9wUq1Pp9Q6pqGB4K3BpZLpKMb96pqYljVk3qIvXWW2+x+YUcTeieD0M6lJF3YflLrl9UvUzc
w3aZCjP3ZGPEeDKqMNkHBghHcB2krs1Ez5+ujUGTC2fBWnCnYcaaL1HEUizXykumJt23FgHO2SZ0
J3aBfbd6iK/2LcYIXEnnKZ8/QftX3nQR93BHil2LnpZXgaYo4k9WOoScXdA1Bi5J8+35P+exMNcC
7wAMYQvNmVdQR6pkpXirEMhMwFcMlbDOI4MkJxMUrZseZyswjtHnD9uYzCMuq/Bjc4/VVHMHx2Um
13OzQpbkN1WA0v6pGLDaDQ+pbawTtwbsn+7Jxua/lRNVvMBhQR98A5i9AqP4c857rju9ms0jgx74
VCivM6+0j7qq3RGp7PAkgh4ku9kM0vGm+xBJB3cBxrDs9Qkvhb7APxYTL36h6qAnV1uEPAYQw7Ah
J0tWlvHqEE8aVRAfd4V9H2dBHk87YEMSbDHGrDIi2YWNQgUHNekdhlKnvr1jbVdYpUy2XG8DrReW
PyAR7eM+rhmeNRQKcytuRMAUH6NaNBLKprQD8HvXOhn6bcJ2R/OEm3xC73zAPBpzw3PekwFLRGmn
4OWCqfS9NV+WSAm4xsTqeTYQukhrfmrwiuPLNEmh0/YD9MfEb27avo1hZQs79+nV2IjZbvYDoz1N
3KMc25jATSYJy7RJXDFkp8QrsHBPN1EJSoUZxhxYfrZhs9V85xifnpXKu8uWLEuvsCVAXH8zLAjZ
WDx5YbaUcJg15WKpE7Mu7XHpWUOJl6syvWxX0ozlQbnT2Dk3a+CxVfaKrAgyrkueR7NZbMsZ1U0/
C6TCh6JRI08JQMTAW62uZ35XjJqXmzRy81m5di4TcDN7kDM/yVDFoF1Dh5/NZVTak9GXQQNhIWWQ
idiepL8I7t+QWewOE3eRd8Fxh54FNamOoIwzT1+BwKKZZ6VHVb9y4dkCoVxsfacyiCDbJcfRpKWB
DOuEvLR+jxGnOWTxvVEsx0UEOaTfMOo0+4OOMst/h4lHJ9MNWxRAK8acJJ6iJO7abrPWrimxbJQh
+qWOFPORn5MRdn1zc2YKahwXS+R1Kt5jaDJDxxhJm+9AgCIv3Sl8QJK9b4+J+kB7yJfPWw5/am4N
aighlM4Wd6mts5AXuxhXAP5TxHCZO/hzWdf5bP5O+63Hwl3zxUD5tBFmu+/JFls/Ea5tc4+9sDMM
DirR1Ob9tNLcAMxREoTOZia4Td64Odvuro/LbqCIXx0tvuAGBTnRrpfqnsYuLlhDncoVZhlyKg+i
nUb5ImvOmMsurS3/OuFKPSI3MUn4gs5NrIeSPPDqKy3E2tFJi7p7mlenmt+tsVWhKsLQBBWOF+BP
AE24iQO5Vb4Hy/4AUz+abjqVJYshLGIfceVVHKuQ+AfsRBTPqGOTXyJlnODgXPrLFlOSyZT02KkC
IfihrlzMkzpg+EfIDqP/QVSD9lPADr+EWkXOiU7wscLqAJFES4IvwakZJ1kFKb+aSVOPQQQw4kjc
FdAeiVMyQryggbdtRx6mOEwh5lKgrfdpgWCBgw9axkWP3inaeLD6Hazj2eH0RqRDH++s1g2JM4cb
hS1zUKUnRAzDTrX2vF4mcWPbR2cmnvkAxdJphg3xI6QbZyCg1q1EqOt/HLEhKIjxlKGWioAfvLnv
l2HxhmurJ4zivU/C+fppaFjV4BJCdB/XkORsmLWDCDt5jAA+COK0p1CKXbwAf+CBMWAUgUdIVLeb
GNaxC1zQrb2Knp26iJqvGc6/xrdBDFohUA28EUlFKNtw4+LJNdgE1zcKoHUs7aASx6S2SnETO6FV
klYswPWq7FsGe2nA7Ick8tFl3hEMehV74Q2k8d50Ll+muP1ZfWNjkAjn/ZwCu/Qb3MTNgSprr5bB
xxn8Vfo7mcxdMlFP2UAYJz2FAdVYYs+8MN2iTa3ZWMg4kLZ5y2SOFaKdzcutIlM+dhzgvA6ZL8wO
Vwe2qTBzS6OTORRkUQKa8MXkHF2uKrUoSYNMTRw9iDwLThlwntRdjzoM+Z2HMWhN9Ye/pOkcQhph
rlb7ODLHx1HVuXiAwd1wKQ7AXGnMVwemn3JUAdtk0PdU9lGJmsw9+m5AFQxcYaroWM+SvayIcnNo
YEORzJzhdR/Y+8lpxOphr+YSa31qEJKzp9RjDQdnQ10C1R5yYk3m2xkWmcsZPSM6pzSZdcxE4SCb
0Jyc0etwogMG47PHEA7T+mHyA8XftUm88MvsokUvsemhFHP9WACZfbIE1uBH3MKJuaImkb3TPQHm
mno1RkexIhkaO/E8gzC1B+EWYXOFmGLiWMRGzdRSjQxNyQLP0NyjoW3E4HwfrR73iR16B/BN453K
JBN9KrqkdRODhnH72cO1KZF+DKBFX5tT6ucJ5jst97FsbTNDFTHW/M3G8RKLGylTv4iJKM5rmo5q
hDMHDM+5whWMPRHvRJ78vBOr4hXaMLxbqUjDJuM3tqgza39XOo2O0FlZlVmKOSZZ9Cw1WesPVQdw
fvH6GDkwHecT7d843EcqWfjGXtE4PKOxR7iIWDctpzm7XecCkOxxKsOgKE+ZFGk9M3QIxHS/hgzd
MvTE0ozDuw5lTHbGCtsUFfaANNz47mjTyEdCsVgYIgpn2eaz3YXDzi9dqpTUTUw1P7WSSPiTLdN+
im7XIXPb/Eokoc316BWeK3JjrzPTsqmkyCSUwTeviMJ9kBF8AxiMRmTyTaHmVLTGuUIX3cB9G3N0
5MoNK+rs9PV0zaYp5dAc25lCdYshDVWg8CDQnaYBNyC9JSCyoLK2uQPFd9j3DX/g/zc/TVXSrbdz
FYUclw7+KZxhWRaa0hDVJLHRMISludrX16MckBvf483Z8lC7no2vvmLuNKVfJjwH0erj61Xi4F0r
1oIBz6gJioPf+WbtVo0bN9c1RPxp2KVVz5j0gl9QexS1c6t5tqM11XxWs3Z8BdsogQAr8DIrdjEC
iOl9GsZ59zQRnA0nuy9HObC5YOHoXfmzM5TNJsFbpfhe4zvFnS0kTOR721nMA+l94EiQ95HnPOhg
1ZcehFx9id+EXqbj4hIC9jRlJFhQdb1WPn1qT2Y62EYd3xb8GS7y/mdHHK1NTGGw4DVF99Wkygwo
U3qWbq8ty1pevGlU661tTba99TKZ0Y5MWZf21ikS0hvvxVp5KJCsGXebW0S9pukGvzdVWLc4psln
RmMK+VS2rI8Ep3Ge2lBDMWl3S2RhBpx3U4CYl9F8i3CaIoQ9YHUU7d5ZheTg9qZ/YDmJgI+HbJCs
ZquU7MniJMNgQUHdhAtL/+REYKEvBE9QR72+es1UmdIKczhUahut2qonWWaaEGlBup8NfmQlnpnu
Q+GL5uadDYmtUdwQAGCUubE1cCOxMDOvON1yKq8F+niKVz0X6THJmmW8E0u49udoXJzqFOFe0Hcc
bJZPfeAtw8TWKaqy5dfE/tCxVxWqMZWoi4ka+8z82jUSJ1rylqpictikKPhHse1BrlxjPTyZLvC1
saiS1Vx0uy6zTre8ZZoJyBCtdLz+FBUsdJokLBS2JJs1PNLcGc2lj0TrprUx+E2GYY+XkV9ivwM4
wg+umhWFXMRsWAOP0WJuVpJi26BKy3FGPjSZ15RPXruYDl2/7hzxQu5Fsqmd0qzK36NG/w/MCNoq
aS9QzJgovgVYo4VRahJX8/OSDKbPnLCry4Kd5SMQiTc98yge6e8/8i2qBkwV0Z7+8NQnQfItzqpl
00T2gFtCIGbDJ3tdGlVkGWT3336UMYdh7GUobMY65VdEzM1SuU6gE8+5j9yJylP4jG4uFzZr9q7f
f9YPNPA/gwQDv+HQQpItgxQP44W3MGVvO8wD8ON4XrwaK8TLEct0VmIw+BmvYcYYkbNwFXgcPo2N
H+C1gQWYIklYDi59NyiE4VphjWwQnv51Z/7JxmpgIJgSKQx6zgTMHWb+9PvL/8dTYahrJmyMlGnH
Xdv8/X9xf5YuqQeGDcHTkDsL18EBZdpCDldaqN9/1D/WnAcwHENOg5vm/jMRnTIqd7Frlk+ILbxR
nxIdFfMnZ0Xw6tKkp1hM/eHLvSV1YSrjGAPfgM9kiPnWP6dD5BGl4PdPCHTNHjUsvGy3Y87O/j4l
UIdXOYmp9ykmNH+GIBDa3Tt2uzr4A4/j7W2Gx4nOBJDW9nndnLcrckaqNs1x6n0Bk6B11Bl8n5eI
4To74L+7yy40Eb4tZBo+DXDsDXhdUhhGnlM4X9C4hQg5ZGVa87ygUztNmWuqxt9/4BuSFUl0EPMY
0sP3gXMIfPTrCkJ6s7KZYKfZNTDX8GaAdc82x6aoea5JB30Gc4s81Vm8DcsAytSf5ij/uLnQjtwY
sgB0iJCv7v56BXSJWeXIsPmiMlgqzR523VruQT2yuDi+li1Tl5nSGL2C2b9/guJWQPiAt69hqHAu
4Gtqbk6N6w//A/SveYtbP/boFtYqajgSyJVuo34XeQNeF5vcKQd263AOzGE56bFFRpUlNi8+HAI4
UsVuCEfAIwfLjxk+QAlEt49gGrkD1O8JX3QoL5aprXp8S9gsrM4N6WLwGzHHOcYV1DZhj1iDs1h2
kssKXwH6ntKeXbMsXVM0FdHwo+JzSdmT26SojUuw3ePnAzyWFh3IpDstkwFZmhJY9vfP/+1rzb6H
Dw15hogQvH8u7ZHOIrPsVT+2mfKoWVM5mBYoXgdTAfyErH//kWb//u8t12y1pM0wo4lgJyMz+fWB
MyjDeq6P5sc4FQZjHPNYlNeQAd3SurF7myvY+FUMS+uwOIkpCq2qNlfz+8v4J0uCeXbMiIpBEeqh
f5yingvugKVk+c3kSIUb7KqKZzBVTY/OYJlvEH5d+zHBTch61lMx4wQrJtwU/3AZv4pAfozV0b1A
7vNgriK7eHPcMZfoiQMLq28JBlfj7sfYWKxjVl3llSDYcJ3ie4Xu46BFluwl3uGPGSpayTR7/ZMA
5M1x+HoxRozBbNNlsvmWsbvW4zy1eIl/S0NbfFDC6d9jCmztQsqoS9g7482Io+qF9Jv6XC2eg9Qs
pJvD73u5zcMsgpDczNNVbo3ed5jzKthEKi8//OGW/bqCzFUKpss4j7kmOvYf+/FUJ7qOlT9+o8ZU
6Ude16Dfcm7rzdjb041LMiodXL+KaBd1Qfs9w0Ci3KyJK+cjuvT+UxBXKa6oc/nRRUNJPwJX5UAs
UcXtTotw6yvAldcH/T+dxb2WBAQ8fSWmYZf3UClfhv/OCcCpmU3nNzqLLueF+lVo8eOf/C20sLHM
JkvZM1YtqJJ+8dnGaNDxf8STkGBlC86Ov80EQ8wE+Vegu2xt/A3X8HfQAEoLl0AZfp0ZUTvRvxFa
sPP/sp0FNjUR10VCDZUYl/e2gqxV2PdLKeYrLCRAvyERzyAugKyBaO3LVk6RW4ODhuBRx9Ilk8T+
PFCHOnBe0XveuzVSpA6QGRYwKtCik3OBA1OjZPQhB/3FoWw7Fg1tylbOi98csDFGUYRblz4VhL7Q
jMAqdevp3I1sk1O/WQfyHuU1uV5Fs5umHOJoHMmGOINiuYD2MtlnTJ71tfaT5J4BrrygrnuwjFH/
3E5hurWXeBcHhbwqDNpUw7l0NkFQuveZyPFkyrNxBtKtZwRpbETxfmYIPOMVtRrBeyWW92s5BU+2
dGGWwNKcrnM7o192M8OhgiaMz0fspXZ1bJapOoIcVhGuC21+FnWqwpuYhpuZprbxVbOslt9pkhCG
H6EIlkEbMpOUIOGuHoof8QnhjyiFxi+IVcCFZHrnYp/zyJgFdPNHAAP8ymGX9T10m1RqIhoYCq3U
A+Q2FIGaHgaT5ZCsRABvu1TJ5UyDtUC27gK+qP8jBQJoRV3NgVMde1d0e98pp71IJckRAHNo+1tH
IkIP570NsiQ3eTkHZ8H05FNc4BcOeyzuj5RxajhkfWcjiWep77DX0PYdZux7Fyet+ugN+DWINlgo
SIoh3OR9gfU1GQ5TCBLld+0O4Rp8XTHVJ9XiRYvyZowO7jzP+3koWgzL3YnBtzvY3OhUymBr2pvv
YZLbTyuuOocy4G08GI++vd34+ql24tg9xF0dHMd2kR+chpgLEOjqgSG62CQ2rOqtZAh6qqYstXdu
F74jCaKDO8hh1DEzVFv8yLFcAH5xJiy5K3XQJloVbCl+h+BaYo7XAWQrP73IOLzCTevVJfMBL8AN
KBvx1Cus9mx8rVGyhvWOWiX5wtvQwX8G/XyGJeLgCtkP+Eing3Lvkyofz3NXhwd0u2G2iZuk/xD5
04vNLG43aQqzhJlFveENyM9MNT1sdVCQx9tURM5VLSAuIwqPHo035ZHZPK7NAWepswsmbNt7bNa8
XZ+o+4CR1Y2Cd/6MGXyyG1WqP43Q1k/Jir/b1rLsuNhIa2WsJq3+ncYs/kYFRYHDY1vg9s7IGQF7
XxrALWk/ilQNzGHi5tzEefp5wL9wQXGQVO9LX7pb5mgShXMNVBuxDsMEG4fAL+07YPFxqxk+4Nzd
+C64agCEfikxamLIN8h3XZ3Eh17Y1bfGKfUZ20zcfDOFZcei4w3eDi8F082dp2eyKzDNPRVVHFMc
u09gJJ+Dqgu2hGtACI0nN+zKHRGNPEdyPFQmR3E791aCB8amDMSou/+diq8ROX88FQMKwd+diiXz
6Kf+15PU/Ju/PXbjv/B5JeIhjn0qaY64v/WHVuz/BSUyFoIosR/earRcfx+L4i/mLKBGaI/hBuN6
9p9j0fuLAwxTnMh41nKc/atzEdHTr+civQT/MbHJxDsHXOmbzpLhpcuyHv1zUEURaagWM8ZmmI5r
ki0XVaqCE66PgNbtPOuvQdvjFVP6iiMFze37th1tijlpPVVhZV+XqMxAyxPvXvBipZwIotmlvR/e
ZNXUv9fFlN8ztKmOJVD+uaav+NLKJEJtiB8aDIP9oHv1TJtWnBAX4m+AfGjpQMrk+mLLEvcp8sVo
d5fS/UCnSdZVUzWXSeiRBORh57UMzXUbuNA2qqTeWUWdYUPQz+cmr2tiIrCQ2hFNFV7UapQVkcHL
u1aSIiSrKL7SfToVQL6LeweMH99At7CvHZ3b15CXrYkJgqcO9CfVkelK+uDEeXzjWOWts4jxOnGd
+9XWTPIEE9FG+bGFE6z0vkP1zTZzrXGLdeDybTtkX7cxQ1CMM0Nm0H5AGEXHTnkkq1R+nTmjD17n
QT/K8aDChqz8qPxCqM1S+cURK43iFPcDqT3+XO/sUJOo47jj5zbKk3fDmM13Q5uvL0x19EPTjd4d
5kD65OmiuxFesdzR7OVbZEz5QSXBeGkvQj3X3rjsoOCEBzlV0zF0SHBwiHDe+GVTnaZmdjeq9Mev
VuwR0xbACMKH3W2wfjNTmTFnal3abbPrg+S6LmV9tiK8+MuwJG2nxfkVdthRqSn4nsa4JfUYXVwO
wp+Pwo6Ts1tn9S3o1MrpRr7zBXBGYu09RCCXEqrGp1Tn8WOoRL2nFpIXWLDNH+Q0q/s48fPrFXHI
9dxjN7cZOy//nAx+f1UQsPvBJ9nhWMPMJoqZefIpWCq8kUpS0+5QyefXKTmhB2aWeFHgB4v6IJcO
B9mgMBbovelKAD7fxh1rBS2ASLYFCZYv47LIm0SI6qSX0bsUwD7HWor8cYzC/EHJzGGoJYO7GpbB
acn0csO8wbt05wDjgrFN3w1+298Xqxdvl7qvzrU1nmWTzAlnYxDduEq6jw3wz7VK/fKcI8o6FZjm
1Zu67AmS9rPgXSXnSzebcbLBe+1k2cMe7vPwBPCGCbxeSmfvyiR8Ut78LVBLfYYQN5E2CdTWQqM5
wK6Mdjps3E+eX77o2cMl0Up99zGMmvt28qCx9FIfV8yN7tpM4HGFW5Z1EVigpxSDkX2TTShntrMl
1BPpgsVtmJYKZgHhXi95EmXHZuIfpWtefYxyu0ZuDMnNBpS5LFIe4ux5lI9jJXZM5OsPodcPz7Tb
pMkPpXPP8PPMCSYu2lkdAbIZh4mQOJu8Kso7UJHqfZBUJ6Hn4UIka3P2yxpLHTmWm5HN8nFo4/wc
BnVy0LmndjS8yyZpluK97BFYrwtOTF4J+X/NTKyWDMoHmA3LxxCNyJ108XHhgULf7rKS5BrhyFur
Ww5zJdSl6hhJbOP4EAxFfUz62b4Gha+OqrqbkmR6sAwWUwrPuSvs1Ds18L/6bTXT4xJg0r14g+ZK
YFbN9hIeW2de9qSREkae0fo8DCE8o4201wqjvlC3jNt0+m7t2/JoLcNKTaWDcNtNGA5hOU0Od5ro
/diskMfXdhyjXRxPH9NVY5FelehmKmpjtjm0G5tYdiSbSCWv8be0945jPRRuieoyTamG8irGplZA
3ophIxM8lH/GQ9g+V4A7e+pKtXGJb3muRAYbo83iu6COxLnvg6XerIx87vLBKndh2GwZe/VPogiX
Y0Grd2v3+PgYjoJ9M0WtvY2SeoVEEFViz3Ax/hRzatysxN98xic7vyLm5AtAljhxIq7kA/XTDYZO
JHvAtr/qC9FsB23FV/Xod7dDkajrAmrDJyvJqxt6A7kn7Cs9OHGb7lYXa66gV95nRG7uSQx8yy6J
2kO2FO63NUzx5Qli+eR7yhwu4+o/ZNCuP0JMwe4Mz2RIxEWcHkc4edBf0hkTryS7dRy4YjPN8IZ4
ieWDPXLrmyxYd1oPct8vbnQZ4WZPEEdFwA065pmFRkGOPxeSbWnj+6dTbzxinjMYWpb8WI3JMYdV
u4dBs96WExkvcoJwt9GDvRbMXRt/E6TLQeBQd+PgS3cRM1n/Miu33M1wqiGycdzmvOKXPXDJiUkN
pKBSdfFjKUS+q5vZfqgSXN/ZmaDZD+5OuyK4XcfCepGwwi/kEFkHqIv9O/Tz1TnwreSAT3h/V+k5
+siYIDk4trI/ZFNu83FhYm21tsTBo2G46bR6bjAme7HXke2fQdYK6W/x0+PizQ4OQ5G3cXvrMsDT
DYFQ0+ULA5l2hhpkSMR2zo6W23eme+DsL4r0fgwoRDbFqCq9bbx4uFOpqk4tnp75ZpFhCSzUd0B7
YRKp78R/lOepynAMWWbrKnex0MNx8naamvI0BONj0AX4BbU9NqeYgY3P5SAeodk+2cn4HQ7RY9Qu
7xtnpTdYZxSKnqrPXRPqPVSue1el8kJmYXhPVof7qQRQfMFgf/nMvPYxmhphsdRzyPLlhWTUaY8X
UvVqGo501GoV15RaTYoJjgv9Z5/DR/X3Rqx8tbhBuBvnZYxu1aA0BG+RfB9z7UX0bDMPDtNmF07e
RPJp0trHUVP1HOtMttc5VOH2UbKBUnsZAueSlNg16bS+iKyy2xnq9I4ir7wkg5egoC4PHwMdqC8I
j9LiNkFfd4m5ldPdj9maJcdqxYyz2S79vEIpSoeg+BplS299DOBpBHjh40C7aa28bBlc596usWx9
ZObeHCbRf8bjG9+jJa12Nr0/huP+58Vy55PIZbjV9TDe8JPLIa5CykksSPPOvxpJ8MUWx2qDTZly
ylgheQvUIh+blZSsDNz3ghPE+pBZeXqFE6mDB5qjb+hlsSXkaV6sA91als9Pfhnriy4WFgwCazw6
zaI3zIcpt7zVHTfEv3WXeX4GJ2QCr3dTmwyQH5FS4JABawcbG9jB/l294n9WKCs9rxjtnsckSS66
2s0vBju9Eg4hz3boSPw/xbDTaai+jJ6AJbQE+pirKT/A5o33VmrTXOdVu58TX6LwyeDDDnCAtlD4
o9MItIJG162PgZ3Y3/0RQutWIoNZ8CJmfPRVRI2IPvf2CDj7MvqhKoOPifKN+pDhRI7R1Y/W5H/Q
5h+aOCw7gKb//00c/Mvm28uQv4y/IKKv/+xvi2znLwNQogJhBgAu6dBHvfrIWKH3F/O50EbjFPkO
OSJAjz/7ON/9y2YYzwSFHu61Wfsb3vTtv2jhBP4TAb0XneG/y0r5kff7n3ENH8IgMkZOSsoHQhX7
rb9E4GpaTdiBp7ZJjVt0znsFKYYR+fBAVN9zhCiW3ExyqJtxibd4s/ebZdHlReSUcmsP0X00ReUF
/NPyehmrqynycT6yBGVph0urbbH5FoAzevSBQ6g/QDhre8du6aHCUfFBxsSqx2JkABm7d+RR2zvw
REh42CHvHRUum9ThM3lppm2BwHlrc77skGY9TFXMAZC3GyVbhtRB8Swsae8qjKA2Jc69W+DO7iyn
7sHBZYyp4eRtCmaH+zoJP2Fk8L7wnOcJ+0T+rXyo2vw7rxApDm2ImbRw7xzIx9BU+D5CLsPe7tSD
QDAEvZoMjdni6zUpU7ylxtJzskIMrKJz2sAvwRNbbids/9KhxsygKL8z+1o2QnArYSH1O1vxS6uJ
W+CTMcFX4DbY0bnO+36XdPzUZHMNCP6p9RK334zwzk4FJnfYAbOBCiX429K/m6NxwNYxOhcYmG7y
eCSpwTWFtOYWyMob9sHgrHdpW93FhO3tq56PrOAtXAa+4vJnz92PiAB2nhTljuHIRzIKqTlRYezY
jb/rRrUnFAbuNkg0JUSJfxhs3/QlqSyS4bv4HjXbsPeaCpI0shywW2jy/hBFsEon2tYi7u+TKCkJ
e6EbYki6HuRqr6c54u55PR86B+E5cqz7H4skV5o+w1f9DkGTvXO0d1dPUb7t7Ph+phPeYtmN8aEd
3E05F5UWePTSKcQHB27brk3r5SKMBxfAzqyigZ9lTHCT9w6oV9u7+3BC2ysSsXCbWFgg6ujCcC5k
PX+HF0b1wWRhU835M4JEnv3Kn4oEde/kWM1uHiKEZlACtzXeiyDDNEVuKNdrW/Uk0PXdw4/nXacR
Ypj/Y+9Mlus2ti79KjdqDgf6JqL+GgCnZ3dIURSpCYKkRDSJNtHn09cHyvKVVHXt67knDlvWIQ+A
zMTea6+GshjHYa4XunqwksB49C2FxeD6xUk3kjc2Oauasxw/A1anj/8vUhs+BY64fCxS/hPW34tl
8EXYeRRTDSqTgdsFEH2/KJ781LJPPG+KT9gkq6uUlgQ9XPeItTDpLR5P2B9YTD678f1mVA2bYtL4
q40oX0qierax7rUnNHMOtscsWlyo49NCM3lXdnkTMVHLw4mco8iCdrqDqG9uJQTRDRbH3FKdlMUp
SbEQ7rR5D8QCtbyNM4IjlLkVHpuSVhGb/bziXVuzygiMwNKhEle+yUa1dA4Cf+RNTk1SbLGxf8N/
NrsdU+f6fXtZUPwPujGY25mkPEwlyaioB9AABLrdxoZtd8LBt9rP1DAroZdtKFDtvj9bRLsrt626
xBd/PUJYAlXTBlgec2/eV7nyhNrB7wz2tA1iu8Cj3YHuFxvI9ISBrgtgXeFs8dsMi7m9tXCMBSP7
21aBOrw/5n6YVrkFywhsqd+OuRE/o1fVDk7KpUIlo0wcDO0QBxanl5O9ULjxCAxBih7fDwoY5wr2
T1EJrzsyKyM+6XKoiEPT52tnJrN+yl+QGCw4DkzVZSxMsaVAYqSpdO2QOOzTGuT/cvEIfvRcFllV
WtWl1gX8doQlnL0lQCSHg6FoiGd7D5epo6Ka+WHGNEZ2Z2EQ3OvWBp5rF7ZmJ4+TCxHLq0Z/M2el
Tu6RY2013MQiLzE43CYe3TsJG8P12xRSEWzFatk3PYcJnNUxIjcJpsPIV0AfyC6C5H4oUSofSq+w
vp1NZjCb2/dNO2buCJag3fOz07MjWRLSsW/NZQ2TijU/dOjPee1MLKZ2bgDCM55fTZI1Gv3qcnbt
+XrwxBttFrdmYQe832s3cMRGlPxIXC2DnV0xhbHnvttocFRCdLaQkwstPpuU8xv4X8Xej9u31uOP
yyFH5sb4Isk4T2ytyHaGlK8+xjfbCvVzVBNFUNbE5QktPWvTcO2tDh8WAU6nJZvxCtdwRTYI0Fn0
LU5NhL5Us0Z2iSrUZ+EUJXb3VATuNvCNTgtRseQvZl7Pm1UuSQCTbt47iSg2cCia/AoL2uEENZlH
aOlxQs5mgmf0NtcZAKR11p9TDIMJ6KL4BIqDy8twbRG9vmU4gEE97XJjRC6erKcmHp61vq6/ECX2
amd4t2NEPIs3v7U0jN7goqoOV5h5OvSVrHdBKdC+IOxtrajJJXs+t0dtk/Aq2kDsi69grittV1gw
VK+FCTmAwYfdlQc0Cb32iCRsjFKSwYrLOA0seKuyMNyoXQSZlM6I5HabECCj3VUD5QO6nPsfSrHz
twrmx8i0n0kE73UN3gk+CSNQGYBxVvz6B+4cPrimsms5HLxsoQtR6RtKUp8jyL9HBYaMsGfX2dlf
Ug5Xessv9RThNyA1tNMrpewXwW+w2CYKgWY4GNP7YccetDLxhSRF3DEa8fbnV/kzv+f3q4QuwSzA
wPXuV8MZNSWazdB2IFuABbJWAoEACE0A3jb/NAH/TVgiDIM/neRsvhbP07P8+uMk59tnvncA5B7a
gQ3RFToqNPS1zP/eATg0B6Sf4DIJP+mdxPB9kBP8xtKlO8D5gBaBgIN/D3KIWIQNypwHvwCoRWQ5
/p///ZM3YvfLf/+4TeDD/rJgV6oWgyFbN3DWY870y4IVOTWRoYL2sLhL+sgovWo2Lum5QzgTwUQE
hCz7XdMu56JGvRVh6koF7mGMH+u4YoxZRc1pKeMxzoYS76VKEA0Q6NPXuXe19e2eg+MxmFjDYCv4
xCE8hs+2JtmKDFt3VcLkfLH0ZIvDvruE3MTsEFOTfch7XngzSOZ1kTu08f5A3eihjLZXFp08uYZO
/HHNy13zCjQsqWxDABd5MaPtQuhmAdHPTr6f+HK4DUu3OXoqi48ohvu7KkjsE6Ogz7nXao9ZUfL+
aSs3tNu52oM6JNtmbVAav2tu1MwhUc7d7egnXxxNcJHI80IEZrfsdbELApFuFsfSwpzqf4+Y6q1h
qjCFetCj7cHXbOsQn7wz2x7tp+K3p6N561qzHmZef9UjbgwHkyLD8MkQGq4MJGxhitHM1CrjcuYl
AEBbjQCh0/oPXCCW8tL2m0fYwSgVjX4mmCz5TIF9XHG/cB1WiEV8bh1qP6+uPyB/V0/4NOqbBg+u
Dd5kw27QKerguEcswfvZirexByFAxO76FdrQdfjRQUtUOpIm/cYSmrZjQk8iVxcUDzXN3AOibGqi
tfJvk9jawQWcGYRgL5bq5VunmrPu2gohvXbqIa4/1yiT7xu4H9BNYwJyrKbYTpSB52JCx+srn7l3
394sqCsebeHfu11W7/GFRvLVLWArsfC2Cr7YIWhdnzRx/2OhGq1lhDB9TOw4Odn4a3qUKGsGZBAP
r5oOrS7yWt267c3CuibtKCXNHWcBmpOU9GJiSz5YmjFv8f+Tqx2xddcVPaN2PyZa0koRkLBzwhyV
/yaF0omnwtwGe9lawIhJYxgUCEuNFZ3jh71P1NS1aczDRQLEjepSas5HDy3ChV26+mebC990JFdG
hIqbGVQEUZOQ7MtYMn5c9AtEw05/rMHB4eLk/fKmVY7S9r6s6/htCbzpqjAlfOQE5QIVYIZrDC98
wPLc+Ea/+wft+Qu0B37sWiT8Z7jn+uv0r6uvc/Za/3jW//6xP9hsjNl1m0w0SnesAH4Y2+MSCKiD
CsE2YGVz6lM5fD/tVzYbvsCrlRbsR2sFaX5kszG74y0UeLq58kd/Od3/7LR3+EE/Vic6tFaEQJi+
Q3inBLZ/Oezb3MZrA3XypTTBkJ8Zd1L0V7YH2qyngVYRaz1hGrgcMqvuSu1YMxlxZIRraHWomW3u
gbGXL9JKBkBwHQLSjP5MXcyV630l1MnbYMDhStUeqj5xBYFEopgW+4OGWb9PmMXIOUdKfOFVsgih
g0Mf3gql8pRQW2TU3u1IBBGc4cbFVGb5YFUSxrU7jb3+VJBVQxuETTcxXDCT9AozVOZaeHF4Glwc
QuMVqdHKEXNKz/dOsEtNT9Xw7RCGwL4zvlHx8ndeXsfr19j6MO8LXPm/0ffQYq9kvk4H0LnIcHIa
tkpvX1OtkzuvbZazYxaVF63SJz7qLpr63FQANd9MQf/ZgH+1AZkA/+kGvAL+qplC/LT9vn3o36wZ
vDixJWIo9V5O/V5oBRRaoIc4n66MmO8gqw6PxjDgQXvvZdSPNZa77mIM1vgLLA7Crv/WrrN+lmFA
IkVRRYUHWwe+KszmX0jg0nDzFn5ZelKOzkgLL6/VAA9Go7lA97PHJz0pvWvNceq7rFmqazUxmWh9
vOcjYlvzrQEeQEEkFLMmcxY3KaEqAnkatVfgyf0cZNapB2gIy5Ghz8bxZyZp6I8RO8Ri8vDKcdIL
0tnqSz1BUh7WZnGJX5I44+Dg74lTSfexF3t7WxTkveNAEG864v7e9RlHYVvuFblI8UapLtUiWI29
DAm9MS+8uZ4+C4jtRBUzM0IhOYz7XDN7+B91fFe3to0UQ5vm46C/CKHqZ498wSslrHjVR/pAKfaU
bKeRBChBvsbNhFQ52XJ0FTqC/Vo/GkxdDkKa2utUy/YNW7/gBj2wf6zjUmIPR3oqoGNjnPEtHvY9
Ytw7u7OnUy6oqkOSrAimtRji5joDZUIFEGtgMdISdZog8kVKe9E1Snut3GR1eQRHvtZUWx2XrH0c
g7m9A3dw9wQjjh8xSOo/QF5lil1oSr7g25I8StT5AewnuOmuSzpcCHSuoBVUTMOFB0dQz+QxdQLh
RaaJxLvFMW6ITHv6hMWVyU2uipcCJfIhUJi1G3aWvSodFD1D6qSpxDkJ2RN4ECt10cRE7VSO1+28
GZXlhkAwOEL6MpiS55mIR5hF4IvcpYGfRmTJzuys4oIEjDiSOHJxoTOExs6IB7jMQFS5o6d7onAK
cizt9JPos1Qgx2wsAgJnEqxKEHVjo8UO8+WUzOwuzFh7xxZK/dVgB4AFQw3whrfuGO9ShR0sjhsQ
GKauSjeFsowE/eg8vVHwDDJqKBczOJud2jd5Wp0zF1jVbhfvMpG12jhqGUJT+uVV02v5pUnG24JD
82RrIQE8HnlydZM8xBB+CAYeEvulnSe7CUXjuHuvkPwtXPsOqlEk+o2enWxqv0KlWjrBLbwHMrB9
bdukRHmny7hxpXMNi2F8rTxLHHVJAMiUa1q6Gbth2dtVOl8oiAXdLsf66GNQ5/GjVrqJdiKWqs23
QeUZX9pJ7wZq3Wm4GzG1iLEaEcZTD4OsYgjZDrfGULWf5aJTR+PN8iykJSkhl36568gi9w+2JSY4
XH5QHzJzgcRdWjNxmj3qs3CIDevBQrV80eqp/TJAtkCKb7NoV0+J4tAklU/rontQ56gej2DXwb2i
pmTanntxGdoQ54oNqvV656dV+YxPZ/BRZvaLpk9reyetK2Nwl69Ow0yeNWHUFX4gcfVIbHZnRBDV
4SdDkpNPvWejDl68vDn6cd1vSm0cSlwXneAyNWfcgnp5a3RIX6CesZ+l7pCu50t76xeNQrXhMdMe
QWtnu8lWyJZ36tS3J4I7vBPZILxOrTT3uQ/w1KClcKLhQuNFWtAQCFTY2Z05as6+znQxb7Sgj+2t
7Un9yRQpGaA2h+lo6s0SIW/O8r0HtQruktVeCzvGASGorf5Owonlxnpl/okkvXYJW6O3Jg6zeDjG
yVz5Kz2m+Tx6S0NKoubjDqkHAG2OvnQ3die119rxSuiERj6eibbTOFxUGjDpzklZCrAc32l+2n52
p2X62qIUfVrsyriyuiwm62bqCEO0HDxWSAu32pt0CWKxofEBdkyn+JiaGtCmoTcfEtE1G18E04Uk
lSAqC9Fu3Mo72fDjIdpVzHBwZd7gHR0fc8GxWRt2C/Zd3ieVM+zhOcRhhpCU1EWSZz0szZcqou9w
t60+qy9YY83ldjTcdlNbQ7nVa9pQBnR+jjWPUYzDhU2md4WXjZya7JPSkqI6LJ5dCf3RX4QrzDCV
lsFYcBiWLr/BdJC6K8jdGyMn9hMzGnnnloV+5xpecuZYnPeeL9RxTKYHx66qu5ZB5x2AcGziWpSv
IZwugX4gATAfvWqCw5eIB0bbJofUxLbys6Y6Y6BUnqmM212XlNghZsK+DhKSb+uRGUPuyIRjm7cd
U7iF6YgZDLvW99p8Y3VleZ0HOl/XFdoOonzKjcFvmq1OFlNoyM69bA2+vpp788pxqliFUvXxB9uX
LhIKMd2TLerTz45x+tVS2nJTadS9+15r68tFX2IIC03zgaGIR/hMob9i1qPwB5EOCaztsJvjFrzX
zmcmEq2mDgnOG7uc0LhwNvphi3x82Ire4TwaMkNdmL3yjmmWQvOf8nNbDDJ0WtO6idHs2xyyIr6b
FPCFm5tXcq6TOqqUDXPCH+pzojzCX7mf97iyGJcBwokDx4WH1l5qN0KMo7U14RPeFoFKv0B3zEh2
01A/SCB1fo/eL6dFecstLK9pTzxncByNoXuQcQ09xsAQj/0EOsMUh3618QJsG6ZkJJMVl8JNn1f4
iQ9W0N5OzHTIVc+hKvqBZ2xxDtMPeVvYNwN2+1c08POx48WYhY05XVeB/6rXWfBqdJZZw9J3WgzU
ivSzPsXi2NVag/tvygwgGzlqWH4pL2kbaUEE7urtsjEXxAdTghC0Nm1Eb7hP+HP4N+ZCOma/zgeg
X+FhvleYICmcQEyz/lAtwSNa54QTO2UsfAELZzAw1fAx7BnLKXjKSCD8QOJF155dIKLuQOPWgtNj
fOCgQCX1+BKrsIz3WMDIiSw9CCZMl6uAOw9EtnyQbbKZYT0usJ5c6LGB60W4Eax00GS6BY2qidnF
YLQ8DL2WPjqN5WTPqNqqKsKGAPqPnJSECyS+MYMM0uHhCdXfWEMsWRMOERKilVHUQi6i7J0/CaFV
r/k4mw9BP3j3xspGaqEltSs/qVyZSkBnTeQNI1mp0Jhc6EwcgNjEps85NCdv5TvR81FB2CsLqoMO
5UGtPTCqKM6tAVhjl9olD4fI45VHVYm+fbOYqa8+cy1Eq6m1/JUclxUHvBH7W7yoUM0Og53CZZNB
ktwTuyC3pTLVbcoADQrQN2bXPzj1f4NTY5+yIgr/Gb44AFNnP/VOv3/kO3ThoLZDmL42KJaDUQ69
2O/tEz3SGvSOehWc+B2O/qOJMs3fQEAwjsbklEgx+Ch/QBeG/xsjCYdJCHr3v81UcX4e6GAzbgFb
BHwtfBx8ouvWUcgPAx1InoXK8Yz6ANW4GcJGld3CXJ5mL1JFGVw2diJvoa/IV3h/iNlSod2ZAeGD
FXUTk+3MJ4W8m2FH6KRVbDQXDnygwfucR2LJdJ2f42ok+YbaWGfnXDKsgeNNEFidzmI3YMa+bWB/
UJrq85nQ74kUJLHsayDgO5Vb6hDAigxTQxu+VooGAce9yb7R5iy9masCVm3a9dMzhonLM9aQS8Yk
jdsWpclI5SyFVDukEO3JWbTmBflV/oz1w3LmJQ4rB5efp0UqgBi4g15kMWH7OsrECM2mIPkM6eJt
krq3Rq9xsvK+MD8O1qzEtxHQT7ODH2cF7zOzf8+23h+BSwvNU9WZNeEm8/MjKIlXybW4cz8oaQVH
HMycbWPOkoqcLD2Brr5dVW1mGZyRZZmXSAC4tMb1a6aamBHuVYoNNiEK9TFQw3ilYie9RkJSfwFr
0T7hftbdpatPN3GE+RXaJwMeZtoXD0UR+/skhf4ydFZ94/vyY89b4EBm4iWsQvPeTM09E3BSOBEm
/LBJ/j9zxODn3p2LJiBxXcBISsmiY+T280U3vusnjDrwfa/L+MlYn36CHvARG435rOFJgROhJY/o
+ulmqbXNsMScbNdBXoAQNesvjTC4DYEzzTcrenuaasv5EC/8W4u0+Su2cMZFAhPyJh1cCBRQhc+O
Hz8k9mzugywrHjDqGSNXFKQWV1NFXJTU9nB/3c1Syx6IqmRNW8SzXujK+lK5w+VEQt6BPC7nQCWO
ftuOieyC47KdHSgfehOkxE4+FU2AaY5dT68UHczEKYpfG9xUj9j9yYPsKSTjlGlPMw47rG3nOzal
uIaByWbqRHYQ1hde9rnEkV+6pBNDrYLPnJSobfx52GRZ1+Krngd7XcHVMTO4Cl5VzXf4CyFMwdYh
vypTq73EFMz8tDB2+uoXLXV2NVGagYIzkpqVZ2C/03WHYG6yC4wX9KsYgcSZ5m68ckTLxZkWNJ5t
m6r8sEi4NhHMTPMOn+75pusNbih2jDuiZyAdOeve1ISCVDR1n+wU0VBApsOlja9VpKNd+Ys4pV/O
LOh0CEWYQ+H0AR5s4nnz89oxE2j+yehpdyn87Ns+IO9FoxJ9AAXAntaD84aFBWuHDvh1Mn0VdT06
isielvRL3tTzdeOa8YlM6faT19pw9MlL3LeMfuZg5d8MbvkRTRL0iFE6RZiPTGQKnv1lHZPmpveJ
2nbQwaG21ObdrEthh8S8rFw8bbmyV4YKx9Wyw68OCmyjanGSTtMbkMY0cwtFGYVGPo/zNZQfdfu+
bJscCg3RvsuVbKGdAJjEb4Sc0yFoZUdWhtF9qgBQoFxlDOFIx8aF36Lxf6l0sW9rQlcjuEwDHhzD
4O5tIFtvK/zUv/F1HIe3f75137mL/z6v1tvP4NTH7gCtHNibt27tH14ZUwu/IlEyvjNlwzCyNzwj
XGSrfchVwBVQSWFA23bafb5k+Po7c7OGuEr6/71PrA59G3sQWKJo45MvxuZZjK5cwqCd0L80hoyf
UBZzMUQnGMc2G7Td378Ae329Mt/nvYx7zM8XUCnRSSNNvLvCZYpIPsB83TZJsmuxQqYhrThnYnz3
AKaxqlq1BdoWQlkDYV13LowJpjh7D6KdudTP1uwZ6JNmyBZmM8S7tvDj+8JriWxJq6Twwz//7r84
n7/ffBsmGr5F2DgQbvvLd59KmlBlT85dPdBchVPXxW+s5tg/wJQrsBbK1FU+d/NNQS2770ufKzCp
ko9+k42nuoTkNAWmPBbOJJH5tto9LoLBPphspmiAXNWN8juMl0yufyop88O+m7o35ocNjwioo4un
4agr5Y+QuNV8HuxJVHsPTih8FkeFs8nEuB+G+JNJ7t4B+Zl/wt0FThwz+13RWcmuKdL5ibZK7eU0
xkcAN7lVNKt+1Jvm/JVMAs4rJP4MB7vGNLbKapCC1ALLT3nosA1jJC2a5ljYY/wE2CSP1ATz+X3r
xYGWfJHkkKM0F/zhUIn4pGZp3kHHwymkzGGKBWabftEJc9/lkGKfWHnjVxRQ6wmy3hqwntOQVerK
1lf8zUYgftdkUg8XYnNw3jMVegbIoo+AH69WXULMT9KZcGKzi+iGIF7ZhXmJ13q3cbxivoYIwLvk
zxcCRSKr9KdtCImBmgHxqfNeDv5SNnBWQ9cTI3HhhdHTsepssPD9bCYMst0vcYtVKnqxLERmkOwo
xZpnl3aYVokzaUu3f0xJ7mEImxenNiu6KVxKPRPRqOVZiSip2vWtWLcrab8vC96fH9eYhhdzssev
Q+bZ2gZCdeltutSv0QdRjl2NWJhvMVvHKADXBbgChVXExa4wAJ1D4NPh4CfavFlU4x1nu/w4E2xu
8S27pYg0Okqm0NotzkfLBIirD18wLeaIJMd+I2s4s7Ohur3Nrj14BTYPIcniPJkp6z9hJnGARDAu
m9nM1Baj8E9G0zBwroHs+T4prXXOhoCgwGLNzc6OsG7zXgnKKDcSV95TbeT6QQXYeIaupdq9arHM
vTLn2A4iRG3pA++B7KHTckSKqpksxt0Z2FeH1ggnQNG6ySGlbsFMweI0CDtcDRFpesadNk5rgQO4
cNJ9eBAaVvobCayY4DAP3bSfU9h5DAY48gqMtXVAAMm/x/3ANkCGouLIxw3WBv01qvsEr95jrNu8
dZSRWy8pAQdLBJm7ERda36/lT7DcJj1O0VuVtPpLWYDxRn1bwgHmZNcjrYIAkdBHAk7UAvkZRgwX
2OCBkTiGZT0atcp81tOgbnMiTEka8PL5TlJbHjBcIAK+wzf9zSSNDXdCpW2LoRQQ3dwYaFqXatrC
VgSogFKYRq6MvZCpPaswa6kywzmRmx4WoRY6TaxvMksVb8AMd/A11sRsytY4nHBlRrAnymvPK9Oz
WXpTxMsg4M4Ei7p930j/zAX/Yi5IOApj6v/c2H53pflX/fYvMt6H8iV7/nFE+O3z39lY7tqU4k2E
x927HIM28jsby/vNMDxgKeq1b4SsP7pci1Y2WJNOA4s+wPZcOu3vA3qfrpnijv+JdYVp8r/+xoB+
nTn+eFZyTpIjSGq2s74xXWIxf37jL0Yl8PCc9QNpA/h9vBVkZM0LgK/vbyj+D2WmnzrkQ6z2R4O1
mVvdX3R5q8bl//kK0CbZQFyzuRro/FQ11Y7rNr6f6Iea6cV1bD8uQXPZjWJblbtEmOSsgW5u6EQr
sLj4qmkSgHfTrraT+WRD+lcpTGstueKVFGa1v+sDbOc947pdnThsZ2TMhufXmFA3Na824zS82sOh
IlRNfM4h6a//uoDYk8/3sVM4tpZd2GnbxQkOdt0DUCUC5FYfK9gAeg+LVZOdZW10gY2GVT0sPnkO
rInDjN6xtHgBmtZFMkx0prm6tSmwyTkGUvQ1QF8mD1ZvddtOXCILu4USNGznKglNRg23bvBkWNq2
S7xnVLPIRnIjDFwrssHzyjYI9TTdDjWI/FxGchB3s4bhTjvJregA2vvmM0QyfZ8VwznpvAu0Ky8q
GSImt1HrTsUe61g/nPq+CK2qei1nW98L4mHCRZ9eKyZYiTt0l1U3OYD0TdS4Hb9M7TJh3SRlnkT/
HC7/DWyGKmtNQvvPp8s1PXT6r+hZ1kX2s43V7x/9frA4v9EmucRVfTsGVjDu94PFt3GkMiAD4eXp
Eme1RrMCS/Xp//wvC8MOsryBtnB8Nd9Pjz8OFus3/iqkTNMCXCOQ/m/xPAlo+nVbkxLBlvZA0Mgh
AuX7eVt7RNmWgM5YZPTA3iEJTqm3UV2Ct5M5yoBUjLHRaxI6vdQ9QkxI7GNlgtBHLjZ5VYS+Hn97
S80lEmenTtqDViBJl2EzVqXOXrA6LMQc/3KJU/vY1L1xXTuAU709QL9czLwFcHCtI5E5pLZNOU5P
kIPmKSxV4F8GDPufqs5vnhC0YyZFkAW+vhOK+Et4lvZzJUfjugxKrUKUl7guqmDTb/YmaWCSzaut
H7FizDpEni1ncKjgYbBoTcKp0Xmj950/3yWzEzyUOKneydy0jrEoaX2sBoLrDUx0UZ9qR9b+yQ28
7kuHq+B9UZWUPkaK/7lBh4R9vg30sGCMN0RiCLiMJrBBv0wzkchULON+JV89e+Y848KvDQdrTK2P
avLnc2XVNASWjm7WLTsDe3HsLDkVk/ghJ9oNyUybNag1gpzQ1IbZ+pdcZtyByq7N+6wrmicr5sgL
Z0vy1+zZIPq4dpznJeFz4ZDwBRxjdeyaCn6bbiXmfR6nNd22hQw/dIOZq7YFv9MXVvNU5DrXHhSO
wgFj0q1r187Ki4rM5GuonvmlP8ZGKAl6usrjbDwivgfwzzw+42nr/SSLO0/CcsYaZcO65k++PdAC
8qvcMKAMHsxhfcIYbxIWpXN8PrpLjVXW1MQAmohlcnxIukJktxry2Sasl5yf0mB1nIV+VxQqcoqB
+8Jcnu9I/khBtbXYmhN5mpdgHdaXTKWQMaX6J9An29oVJYYz4Tipt5RQWAo88ogeloKCTXXObqlS
146KOIsflNnlt94IZxvteYu3vVGa95XNAiQWd121WKLtxIzudrcAtyarsyD//L1DWRdRr1tAwO7E
d/X6kdVgyo4ni8oBb5ZgATNG8DnYV4XnkQnIFJ7Fp5mE48QjfLrQm5r+CxY+jHB1MnquU1zOpw2j
MR4wxjI6E5YgWblzeVMtpyonlyoSQQHKNbJE3dBgW17WjJXsg5eD12n5CKEWqRXfO1Or/1oJmeYO
UjXplNVUsmJipnlf5nkl2wBO8+zGdZ0soGpPCMbB03gLHktnaJ7QpPDD+hZ7tsAxcVC1KyK0qJPR
9hjNk2yY3L4v4UzzuL+iqy/qdbPn6yKN3XG+m6yBWzKZyXKewdTOTHzqCzvNSRomDCh4oJbixvWE
2CAsKXwWzODp9UXBQIsVsG4JUoCwg0UsD5UgHXjYOgcHhLz2SXlSHlqHqBTkNa5xb8O8eNByfdTC
pstT2LgtAGSBvRa+DPUCRcBEvo17NtTpKSu5HKyyjhlNWEKK5MLfAvVlgWkWm5welfsTS9u4H0nf
2y86szrKBx1IFEcBbOCK4FK1Lo+wzxZ+Qs1AYDVX9yWSdY9+/5y3IwQUCpKF8zRRwUYvGu/gOlLf
6QXDA5wXtA0SNE0iMxVcrzXLZNopGn5sptkUMSQYjC2g1HNilWY9pXdLNzdXcIswM1/aDBkae5ng
JfvoV0ILtiXBArT+JCwcGfSSltVzZJAthi+K0wzcwdKe7xoWOvBKKtonocftIcD7Yg/XxLz3cF64
BlxmhE+uslQfugDe6GEeOCJpeYLLWQhWlBYwGt4Upmbcx2AqzSmpsZ5H+Vki1SdPLsPCQ2V7xiRC
RePEUyKW0H7uMpOj2YgX1lQM0j6GC0hWG8muwEKQ4Sx6wMow7tthMe5zMgBIOJUo2MISayDB1L4P
trgCNE8EP7MjSrc1rlHLGvclzuvY+5XNOsdF1s9ONMhSONlki7SRmcTdl0TQ7Gepw+oO+BXk/gYP
MnOM/MJuBnkguglWwfuax0OXD+k91xyZ7br+B5iB10M2Bg8QaT2uU1+PvXEy2v52pNefd+CDnG+g
6z6orLWux2Dp/Khp/eBBsxQP8tuRlndGViJnnVhKTuzLgVK+Y5zcjjaVYmNoxtl22V0FJiw4eEzc
XrLsMdnjz9C+2g+rPbURza0j0937yVrXqeHuJ8TTD0ZG6fgwJckiPjnT6hVf4K6UhcY4ZXs77Z3n
gDjULf4YJWrmYXUcJps6nYOjbBDj4t6qry/nOOEEZrxmXE8Kq66woH4YIr/2GwMjn7QyUkbqKeFh
KAHLCZengRIiTOqqRlpWq+CiJJQ5RegXzwm3JAuKW5UXcO6y1cyh6LXkgVcpKSs9KYsnu9LZNYK4
gGsoxZg0phwxNaH3ppNHOKy4X+qqfKgTQ54wFBx00B5/WjO8LHmPjP1YB+uLqHOr4j5bkuaCd4x/
NgjVQ8QgR2sHQT+D42P0145u1RfdAE8e6Ub6MfNaUHIsbT63aIQ1s24vOwaYkQSU0r2cPUCmrFFq
COD65dilQ3PB+AL7vTMkrBofn54Z1bBrmq7daSh9zqgdw7z0iAW1Hf3T4ha0PSguSpQYMKpKTlVs
Ai3bdbE20Qdz0+iwfuD9YaKByxBTdheTrgjSYXkwmNinYWY3PpicsHaiMkdkw8hGYMBMJycnxSBC
A7ogAamadMEueCm8Q8CyJAOpGyDTmUzALnrLVjf+vKYn5QGvORxUVqpH00PYND5CDqqvNN2tbjIl
/JNnxqxeYxW4g4wRlJc3a1M2myH0yeFCzqN+5WHlibm25szPBYmTHxev/Gijmikui7azb1uRVlsN
5NWPbIUQ2x+t8a1jyEDgJZ1NB4RLl2aY29bxss2aNbVb4E0d9LEdN8vcl9vSb+Y0YrKIHZPV5Vc+
Q5wFO5TB/ZL3frVTwxTzHs/0bZJNH4MgJ1wtg/TqxdNnpL0Rw0LvhaHZcpc6hMwZRWvuLIFrl9k7
8rbTua1uULnMecv5NR/Mew3UNDTAo6/8LGUWROhlVHtDuasXzd7HwehdNuDH26Tt7lvy+2CkuVRG
265s66uekNuNECX1CULiLQM9ENhSGicTotgBm9MOp57BvqwtBX7lzNWWYBjnw+xidDq3rb/VAmjq
+WpEwgoRZxuqkkfVqSnxf9k7s+W2kTQLv8q8ACqQ2HHLnRQlSpSs7QYhWxb2PZFYnn4+sKtivFTb
UzO3fdHVFR1tkwSJROb5z/mOOPEQwGNjqWITktneZzjhyO6TlSnMYgeaqdl68xPCHCsFG9TvdnbK
F9bSbfzSBkO9SvBZXDMkv+vi3KBhqdDPaZN4BIYy+Ym6Vu045lWG+dVz+XM9e9fPEogC+xLDmA6S
wdw2iWX5zOhJsr3rcBPz+zbSBwMa0s7tTQDeM/eJJ69LjMjadK6NpalM831PG9eblubPg1anGUJc
BsSradoN4SyrxD/YI0pPstvqQRqBqUxrYHsx6CXqu7ZBGMm9Kuz3ijArsFQYSKLS4aZAc9mPSWO+
BY2Orzko2+GZHfGa3TVUS0zRxWpM9XQta4vgUs2KwsrfUJxJD/NCiw13p7dkmPIoo1jVGKl06jPR
H6NOYxJUmV3idywkXsO1k7Z+Vn2aiTWNYg1+TJeZQXKOAzI9QPdyK9vRcqJIgKVDuIkSo15NHlTY
QFNkjsMoYOJfhmawlU6ksTA1sbOjpat/1NLW8Hjs0S+IO0YgEFd4EpOoXpOUKPG8c1/EpuwfGZRn
+4kQ3sJviJXhQJ2gtM0AtcSNN46R6Z9ojfH4iZukj7UDHl42fiykOQ4q2kTCY1jngNZk+0QRTXeV
N961kxbtkodXcJ93hv7s963TLKgxCeQhresxfmqdqtP3yKK+PGi1mAyEb3MuxfXNru7XidDYOYUc
3IJTIP2e3awiYjaArPBegjpjUQ8gojJx0foRMN8CWtBEaCxJiKUvjczS9EXYYjoNKWrTO/PFQ0KG
h9glM9owprtvA77AzvG5NvzvoAUmsdLtXHr8egy/WdtY+tYYv9htkTNmI+Ioi2dTXFfZeNDFNJxH
oxcP7EVpB5hHYaRY2J99c+L/Gw+AOZ+Nv5lg0MCBucaiSwGCLDjqC1f9m0EiLIoKAmMd7aiZ4oEZ
lmwFgQb1fQNFgjBWW9yDyfWs/VjyFF0NGKnSg7IMde4s5eMKUb3/qFOASMLw8pgWjL+3WsyeDqAg
u4mYXN06C8p5SzEfPQtfz5qVlgcc3lK3Gbrredb//q89cpwzjO8gRXFNxmo4M8gldK4SZlzzY+WN
Cl7/COjNw5VluxUbsl9fjp9FSkGbA/+ZwTE4I9xZxPzmciifzkOTTsRdESiUf5qXaGCOnJR6x4YR
UL0kYlOsnaGt32A5j+dacuiuIw6lMYm+c17Uv3tHf/cF6QBPHdNymQxc3vE370ijcG3qeADuGnzc
nE81MNUSbeWxRatoybbP57jeMNp3S7jmvlJslAsSBVA5G54tSzxF82GCHfqvL9VPWqrALwXIB+nF
cBFgftBSuwiacSXjZBeUPl8oXXzm8DRZU9c+M/ye6o2VUxO5Kgs7YzLRp2zbfv0G/ua7spiV8Aum
q5seAmNOhH1zZfrIYUpiyBCUpQ9LKyjaMF51vggMMKRtFHJMCaptbMZReCUr8IiEr9qA4mApHihh
EzeUl3Ee+fW7+pvLgv+RIAwHPsciHPP9myrMDjBgYoU7zAIc7wb2jeuBOZDPXj7IcPka7Jm7fGJb
jVBcvfz61S+36/e3M7YKQtf8h8MbwZwfXn50065QE9dkzDhEY+kc4bq2BG4oOcuj0cbtadL395DC
r9uL+eBWWIBUr5RVV8bJckaV0leayjDayVl7qWoydR8tpJhzX5g8on/9ho3vPUjY3giOA/UlQ4sH
z6HT4vs3jEujjuln1LZmZLMGGuVURAcPfh63GuZtsssY4EbDU9p9YYCZwA0dsQ6MoArviVWzPIUm
Jv0lkdJsCRqUf2V14p8w08ZwfZGHTKOa75FmBppjBg3jXYkDHDePW6lwHdIOu5vGnFe3jRTxxklH
xY3FgeD98mH/M+b6zZhLsJZyc/57JXr7tWzC70dbf/6Zv9JvOooxSjEcRtJm/9KZ/5Kg7T/g4iJV
0K1B0xNDrP+RoBGK/5pl6X/Q08MPbDbLEBM1/skoiykYv8rvbrMZdsBfpjsUJ1BuPyvS3yw9vlEW
REZ4TJhe+NKnDP1lm5ZrgB3PVBLcN7D8CkxGz14unoGXC7aT4waAyUGOrreetNrYmzCQ9y2u9UUh
QO77XZptmUoB49dq+J7Kbz7GQDmrMnIh4XitfiS2UL2CPNDPmjEa24kw9sqkg3ZZeXG8ocwS9jCG
GsAF3m0/xWxjJcpnH/f8bSRGTLS4dasZgC/ZHx902Sxp3zvRlgSYX1pykWTDvmnd6c7mdl+Vbu8u
xdh3D0bsp8twHEh0EEVbWJq46yfT3rYyfHKsHPGlZ+bjIpdcSz0WV4nJe9L1Ir6FbsY+BzIu50V3
bWH46waqTjBwUtjn2FBz1FvZCZ7wpupXDcTAzzHD7au0tyaIBxPFuwQ3tjZ42XVjNe62L0ZSWFY2
rEEBvFNLa26szghWcerMOZjuzVAjiFKpDkiL+YZgfL9KJjYkk6RR3XdhH4OSOud1u5GXvhztFIwJ
7dlaPewq0+8Xg1uKs18Z2bNUdvUEaGCT+7O1XebnlIEH3TYoHYvEg8C5JIhz3VRm2K9ZoPRlXdTp
czeV8V1qRuC7WkoAsYgxCahC1dzXphbcG+joV+wcJlIsuU1tkXRqMDJVfMOYpn8OfB7kWIX9xyE3
qYsEJ94D8XG9Y6T8fN32YMHqLvPu3J6ypSIzWdgyQ9k7aTJhcDkwOsvEVdljkRag0LIIjyIWrhur
oEkGs0JWplSyV83RrQ1vVcWm4OL5BvnKqKuJSxlVATwiCCBfkEM+zHuPmrhmAT0ozlJiFRztYpBb
uBVmI8PG6N3k1SXI5KyGgA4sUOPo/kZW3nsMLdZDHpf34LPFjekMSKXzNgThNHmt6MTDOUr6Ewdj
OolNnuCOvajPo62Iu8iUISxpuGFNTmGOOWA74iiBrGnTob5qas96q9GTHsd41D83HVsfzeTYg2Ig
uar49FdNpOZpBR2W1AmwujOgRv4s7eIALSlmsIs+vCInyVQl5Kdpd4Dgdnar+PD1GI5nTMu8x7zU
ESWdDrmF+XGKQ5nvAUY6f6HANlJTfRIX61Hl2F5kXr1E3H/b2KGECZggxtBgiJH33NnsW4kivhlr
q30nTqO2ojOrr/bQDLdBV1anyztLgqTyNqoT/PUZ9rO7cCKXGtuNTW9qEHl31sBv0NJk/pHlkXUo
7KJ7aBOrX5bO6MAnmT+4NPPxPHa2/OQOOf/HbK6osNW/OsTwIup+S5a1t5LXyy8NBgmvNoW+4jg4
GvZVPKCs4akpTz2G2mgRIdHygK2zR5R946kvtLhcy9xy78hTWPtyluQFNiJAW7A1jLBzrV2l+FKJ
SBQHoGx8awZwrU3W5/JdulF8U+ilc+JEMl7VgTDOgZ54576msTDiFwna1reDVyxy9QJCLqnBIhj4
i5THK7oj6mkWRto9jfMYr52kvAeN629LCBfry7eV93l5H4ezaNmmAbkvIZW3LDEaQBOz7KNA3gkW
nEkjApPhHEqcGzdxifGr52TMAJ2KDfyPKKYlG+hkuiH3eaPq8bbT2gdV0xaj7PK1iPHtkBBe+t61
IbsTR8HbSOkAYWS0own6w+79K98ss4XUgMoY7nlozQ2TMw7S02OIFXhFZto7Eq9loQvgBcDMMqqx
XHpGUZ4lzzEcmmYJ0zUWztmqkk8E9ZC0FWt4Krxw5biVuRRuYS3jfLyh/3XVD9SzB+XBLNzgFtP8
cBKDkWy8MhzB3XlOtHXKFG6er6z1yIxp4VbsfpSCdSJRLtiUNuK9CIelqo2vdUF7ZU0E6CphW78u
jFzsTcP+0gi5Kzz7jt6jDINuZ55ABAcvRAyeW837QiMdOOyizTckNVHnxkKttdwcV0lLnThTANx5
leOU9x24CCpAk+k9Vxypp4iuXCi0m0oO90XSVQffTbdmIlFV7IkvOHbEZqi7YJH0Y3pMHfHJIYTK
aLHep8OY7/Esm7ueRXile12F2yGlCM4HRxxOYITL8qXWO2sxFKV+RFtxsQQzCuG4rq9sTIy6yOsl
bL1FJ0ZaCirshp77FaUl3ll9rb+6jkYNQJo+SNEmb6CfaQhP2CjGZu0tIdYyimqRGiw4/EQ3p4n1
wFTZLkzICy8YklvLCbyYH9zXefsejTKgyMYbb4aIUOLaJHIml4U0gNZTLkyUVBnFsRTODZ7A9I6f
FdB43F23Jlhz7Ci0LC5zBLxdWqTVymqpY2iFUX1t2cKuye3tMUYTW6iqtw640ar26JZPhHrWqdhd
6iVPe/yX9hZ22xfKqF7qyNzqYx186gWCh2mmamGbfUrViq1dNxYQ3rHAUMxtCDSmCJ9JbbTLojUx
HuveEVZnuGaT4L1T66HOrh2LTynUF/YQUKCWlKiPh552PmjhyLLDklqJT4kLpJ48e/61hc/zVTZN
dkCQJpobtsGqVJra8EzvN5gfD/TbmmskNv3GDZLyjsPyQMSkZmdlajZz8Ma7qVTVvxb6mL32hmDo
S68Ailg+InDGE8Mds2Qll3E3x9U4xTMh93xmvUl4VAOg/UNroIaRY5mgu/oo4R7nDp1bInyUzqCd
HMEcLDWNoeZLJG4fNKGG/Jl0R9duLH4xBZy6kukdQ7Wp5zE4dOVNCZf2YEHfXwe1nYNOrYNHv47l
uU+nOFlPNEWSMPML7UaGnr1np5BuhV7W63igTQl4UGmhDw0fBC+Mk8hD+alv4n4Hibt+cmpZLjLW
whWjODLgLj5XjRwyav9ErTu7sFwp7aCXLGCVMOpdGdA0VzUyWSbBGGxKkEy8rQyPqpV9dlv8Om0T
9KfU0fTrJiga6Hdls8V/qZjcpMGSPcP1UHKI1LQtUSLg+N70kjRNWa0SqphhX9aklUQqFjFR3k1u
6XJZYsvfTiVhkTgCVDdLQEYHUMnOWnU7pezxUlWSd3WUdxr7Oruvk7ZHpEu1F1P6NxBx26+9CwW9
dka58VGoNl0WVIw0aVtpcBGsumbiFsesulAeIieKyKlwUTUrvxsXLbVKj7ggtkM/hKvWnO5Hx3Rv
htgA8Op5yXYsxJZaC4oJRLOmRTP8ita+NcmpLxR90msVJ3im9GE4xErABEjaYA+Y9BiH9dkKbHsF
ez3Zj5MzXAWJR1/9KqEwXqzxrp79lNVVXLkdCEy1ZvqQiWpL6j8J7yiGrKE1deRMF3xgi3IvX8PN
/xhiFaU6xNdD0A5un43DfmD/Ox0JMYwpEcs8tdcElJHIvYossd2lQ0IUXHVducqB9RsLKlvoyY5S
r1cWHtqgNHY8DZ+G3LrTdF9tcqAby9Dq+nuAA9NajFN7EyZ2Ce7Mtq6lPT3Xkxmvp8o5xz6Z+2SS
QL38wlhl4PxPtHbbn9uhHJeJUUyfRSvkdZ+72iYW6msTjsa6tw117ZHKXcGHsw7g6HtWv6i99Xv8
2D1lwueQrcraCDpzNWruKy2Xc6t8l7z1MhyXsdZY4HuBj+da7CzChHZywjDFkj64YRlUTOeqgJaR
gaTvVvf8B3q8hwUFPFeTyUY7y5J3fPMKb3hOw4tIl1lpfYnwna8CGfuHMcQGjvY7b/rDsZGfdavH
sZDaybHvi5Z9fGvtTCe29wB+73XVYXit2ctoq1TJdE+yHurhNFnj0YobSjKwZjxl1KJdt1H+hQNo
mK9Lgy4d3G9khhjIlau4iL7Uec5TX6vzd1c585pFV/emK2K1aYTevLB9cUgxmyh7AYUP7IHOZpzY
4ECmsMUUkZkHQHwUeIwTd1pX9I8OOsYVdTrFccqUB6hslNkpLWrXXk6eGX0uasZDC4bXwyYXEY8C
3Z/RzhwNS/YBme+9Y4Nk4VChLc5xF3pPoJ+rl8nMsfKBIKoWKjAtjSXf9Ytlp/fFQ8Gmf22LyaP6
QpabloVx7YmJ6ACo3qrnkEXRTnoTY0h8ETTcrpzahaFhFxGhBpT0EsJbyU8I8/kpKT3k3yL25QMY
wIZJN97jYsKbzO5ZTuNyiHvc2SvaUOiDq1v1ERF637mmjHcNGZXdoBVf04GkLfAWl+Nje0wb4A1V
2HhE9XV1y9ylOiP3T6sU2BykanAbdljCVwvMeJX4XnDgjX3i4BfgT4nKDd1I3j4jJ/mforD/+l8V
hRm6bSFm/3vV5/qtbd++RF37Vcr2W1vzn3/yT+3H8f+gCwEvo2vbpgtrDCnpL1+zOZeCgYs36KQk
wTjzLP+0H8KZJztg/ov9Tvn7rE//qQVZgmCvN9fgQsJCPdb/ka/5R/MhHkcXCtKcK+bF9B+LZ0k5
OFpaadXOi7OPqAz9rebhn489pvvfXJ2/mdX83SvNSpoJvAnX5SXD+o3olBVWYU2D4JWgVWIjqV6r
ohxYS6LuN0OHv3slXgPQG7wpso8/yFuh1Jj50cuwkz3W46DTT63KIU/W0+M//kiEnw34Ubyczmt9
r6MpN6Olppmq3dimH2mWfqAKfCT89//lZey5i4Bv/KfviLkleCcycLtA42Tre7PSEdFekQ7x/+HS
8VtFx6ah2fVgcH3/iUJYPVYZ8YkUFKfjoLPL5SHsHRtU9F9/qPlv+laD5IeHyE/TMd8TFlxAXt9p
kK4iV8bckjrlWQpyOo784fBI6vHxMgP69Yv9ONa4vBjWeZgIBsV9swX4W8FTE3bJvVlWMCpngjbh
sF3i1TiBtPhN9+ZkrEUaD6SV/Oc/Rc+xTBt7L/ItBYDfvzBz5A57YVExiEBK6nDAgF7SUpxx/Nuv
P+N8wX66oAQdWBWoruCu/v6laALqxrjMq51GccAu76pxTYwyuP/1q/zNveXNPuq/XoUl69srSUuW
pTRsgDvNH+wroxkeQXMUhwsP8P/3Sj9cOrI7UamgmO6irBtXHHbeJrbgDEl+d3uJ+cp8d+V8nViH
I3Qdci9BuB+GODzxA56vLVVDDgZMm0beheRstexN67mOXW2nmZVaeElkbOwGWxJEst+1wf9kAufC
kXxh9IWKa6GM/fALBZpme3lJx2mlwHhX+Cbhd6Ek3E5WPhIq0Tm8+43Y1IwIdjpJsFWSmf7arJGo
8L2hnfUldjhvIMjQlEX/BZmKXfjsQiVXMyv46cfIZGIfTgS0K7cNFk01Ie0Zflnjl+T/MkZInjoR
RGwkZPhdbOl3+IWMp9Q1yj0txsGryhEv+3wADOvilinHwt/2CbdU6g5OSHdwp+WLtBi8FTITFnOJ
B4nJQLGWhlvcww+zDro/9V/qgAeNkA7v3RG8SmKVV73XQkhnXBCVa051+ucknbXDlvejGb71lgd8
aLaxVG3AasAZjh4h5wLMJQZzRE/RZXQ/1By9wNNDJKj1YFhD9/MQhSqNbgo+3ZSzduaJKyHrU96I
5J4iDyKAOg5PIc5eYiMpaJJL5QvzYGGz2eK8LK8EkvHKyzF5eljd0dp04ymMlH01hCJ5Db0ye3T6
lIFpi4e7dnKD5kL+IgzFOHOr3KIwzAkUOmLkQtpFVR9ZbgbHQqDVLDK3uLSI6BPru2NILl8DLs1V
lNTVyemSDzop6PFNHOOJ6O0HJU/BPQpcibNnfveQGa/GzEAYbyDbzWQ3P4tuKVcczsmApZaHioT5
n8dbFQL5ZydC91mGAnOIQybBC4uB4k1IPPaUOGHx4Wi+uBFlwkXsMrugd66nauNy52W0MRwmePfH
yOGSUZXFx+zASIOyH/F4VOGDN82W85CqTQrg5ghBjawKTIKxZCZVOS3LqXGybVwYegXnTFU+rC36
9qKgYsRsCIXmWZSzrdXRi+aosSV/8gDuPiCG5R/YCAhApuG4pteRg7Pu1TuLquLHkpv7wSxKfj8Y
em027KSZ0gXiryo33cAIFmgIpQ6+wVcgaRu1yRhXyJa4D7QlhcvYEWpanqs5rcsAlqfsNFKfILnv
KQPO+ip6lDCm1BaAYPKGiqxt/Bl04DBuCal3UdRTY3k7942vnqdmSrd21UkqHrWGas4EjtC0nhIU
SkyYYd8h3aTi8+RDXDXwYO/pasN7j2TSflKQ0l7CxLKvLrCHHDOyDZlbMw/wa+NxBbiY0EPKN2FH
FMjVBCQOl9FFM9B4g6nsw+AoT4WEYx54I2IjQqR9jRrWfhXlTnQTwv9i0Jb54CD5hjp0Mv4xt3tj
ll7ZVEXfJ4rQ1CrC/fe1qHx7Bzl8tgdHHOVxzz9X7ai2OJ1mgwkZZ7BxXnHorZgx+yx2aFJftiLb
Urb5VXYN6eAWPbQ2drJUn/HRxYcclNi6o/rziqexe3cZ3QgoTeuZdnat6PZYhyn3uUVJM4qymz7h
55qudJ/T4IRmG05DJYFxpW26AByHk1Nm/KhZFXEZZdW4KvCPnUz2tZta465PO1xmSlUY9Fo4JwTv
md31VOIiQudkR/jcRp684RsGd9An9ls2tN6dqeakTNhjfwbTcRg6flG4F4PXOWCy1DPKYVXBx6fC
mtsopzHpBOmz/9JqDQiAsGXNiazUuxMOcwBLz95sm4WyaVg/MKK5d1NMxtdomnEVuDV5ANvsvLug
TJuj6Lu562fe7HU+ZasZrSqrhBwG1D6kEqfnpcFPN7u49eTSoLf3S2QXNI9mFAz5rc4vGKouPWYn
s+KoG/Wmx5eQV6eW8nJCfbj+kXP4MfU1Jv5FLihTc7k6pEN6hJhOrC+rbh/FLzL1xFe9Z7VS82/E
xgV2kyJF3CQ2Zjs1RoDMezYzC02T9k0S2pvWSvCZl3MzkTlbSGSJGj855ScMr/5pckF4DzpJfx64
oMn4hoGo67jSmSQWDwrXOEnlojgEU5fftR1rjxayevQ+N32qqAdVlE1S6mjXELeZtJmBoX/2RSev
oBGyJS67k0e56o5aboZEhAO2uR9q17KJT2Zs0uyZJO1pHCJ5HSTTU6yb/ZOXUj/hjXjSrUnQjuyT
/i6iOj9VWhPcZumLWzc5TsDoowxBqUI5+MT9/NgoPdyhCdAEFSK9M/yrThbj6IzHIr2JDkhHmwyk
4fLQu6QCtDjKHuuClbcpWHH03BMPsQ6pYznxlVb/WmQdq6XOh+9gw/GP7m9nmElyFgIS8aZulxu2
1WwLIIeGiCoq9FqfDp8Rbi3aA+fMmp9I4udLEeoEg9D9/YVXgTstMO83q1FBuV+AWSWcD85G6hjf
+xrdITc+tbmRH/razA8lrTPVsvS6+mBmbbfqRD4a2QoXZ+k6V2NvDDk0PWxwrH/kqoNzbTClJ+aZ
RNrWihUlzQxKTYXxOQ+Ud7BUVxaLwOmIvi05DjQd5En0HNzISQRdnjLZr5XtEOiKQzL9WGDpo710
pJi1ra9rjAc0pzCxHiluaqS8hWmNgJpYHWJg64XJWoLMtbBydwKIWivaVw/vKQLukN33iTmQ5xIw
YOf9vTUHWUZ1KGigXcWV/tnyul1FYyXcWRM6p61FZGG4v1g41B0xVO1akEBJVtLN6TOgVmDLfWrA
8E3AGjDJljv0MgggdfBGt326dnsmGIZeYnpwa/FMEQAtODyj8euHVLXQI89A18/M6YbbNfwSZq7o
6ERjdJa5tLiRvtP28QCoeOOCV2DG4LB8WyG7Ew5sMHt7i3DYquID7/CwkqvzGDj/xppm/rTJnzfE
wjBtx3XxiPx4Cqxmx5dndekuynPr0Kk2/6AsmyvYQ83UATtYbK0yxEqabhLs/MphZyHotjoxIzaY
4uZvPLgKGsCpXx4NjjqEBnEsZUx1rywMGceiSRpGYHgrpZqDchcmUhhwD5oDJyVQonlwb1q69UY6
BJebzz+2nibcuzEQLLfBOGSPehwnr5c1EEM1ech+ou3mN6eqn2x6NG+ANeNERc4T4suFofGNbAGn
AL251bNdzWZi5SDOXsuwYzzuNeyZLtPg0dTQ3I2JPVbqN8SuGqbQTLFD8h7+787NPzrOLu8HwUYw
6p21hx/PzUwvWA94P00uHjt9vIJQxpzZjd+KrDsHI4/8X5/Dfjqo82PQOalbFqB7ZKcfTketpew8
7Cuaw2s2pEXAAFMUcKiKIrowH8r9r19P/N2vT3dtoKPE9006qL8/YhYNmz2L4BOLa41lgxUTFbot
FKMaflhSK31GzfzWqG/pby+PYPqOhLON8BtvIkJXzMcIMV3m62Bsfqdj/XTO9ikr8Qyby0LQ2PjR
OSpHp3cqMm87hjTx1tbCkmbz/nf34E+KBa+CUGEw0rEMPL0/nAe7uFOBU5TxzrHYuToAT/HuOnJZ
Gz6bfCeFCzYm7Nwj+mOff/0FGD+fh9kf4DfzBPErfLs/vDZEU0s1WR/tLGY8wY6YgH/UgsB/zTv2
pS1wyPHka8QtC2t8pL61/gDH16/lqGwoISXC9LzYQQSFleqZ61DSUGdZONLZ/PrHpCzad2wTgdzP
yLr/5OX/d3q1AIjHWvHv9ep92X9H3/jzD/wpU/v6Hxfv+OxOnFH8f0rUvvOHY3F6cjBJ+xd4//9I
1Bf1WjAGQ42eBTxulL8kauyKxKxwBUDA4feD3vYP0BuW+YNfcV4GEOMdY6YVGdSimt+vCHQQS1W4
sXfQ63y40hJwzD2Fe+fBtNP3HMPwnokUyF03s8NwQQV3emOaefOSJA5QicBttVsRukyUompUt5Yp
g8d0MgLrqo6H4UuEDTzcU/ZTB8ug4Cy0rIeJWS11P+tgyNzH0Zb9XYdTDio4ZYTBAS529q7UaB8V
+sJjNJTA9qas8eBvUzTLAaSEPCHNfh/5VrxXtsrWCUQ9Dn6Fb7Mby03nHftQ9pWWin1IqBog8qCe
ZFxbZ2rCumnF2Tj4kMQVT6GmrtOsw10yQuaDDWvWb9TqqKchrPMlgPLoA+sYDn8/tFE3msG9rcgt
5qthNNtbwJwDdN9G9AsfT9CHm2vaXVkkzBiRYMMbpRm0E1kVNPCw9Qjn9KVpHaFcprRzJJPwF3Dx
o7cJqMguc4J2jdckehGjicnG9HJv27qMPWCkO9n9KKLo1Nndnn1vGe7ingQR833vAFNFbfWSM/hq
ynPnPo9CjgZYpTN3MYInojxSGN20iNJChOyRSv99FPpQsetrXPoGZga24zecdYK0PnRBSg9gK5zZ
b10yyq8H/2qmIS1s3DAgnfzKu7FGmsY3gXKhwLt5vQthE+1STW8/R1rAqcmnjbkkGedU93XWywP8
GW1ZGgMXh0C3BDBaZCcI/a6+8MIpOcVsChk92656znjqLpzOkt4Vs0kXg9lE8pf6P9c/0D0TyFXI
oJxK16I5FRGEffqhgZubDkEpqx/IQhNRlQeZ5NQGOdEQ3nqy+qCIZex2upzqmCpEs/zoqRq0sL1O
pB+puZRfisZ0KKwMvOwx6IZkD1SwXsPLS4hNFI56q4Tv3Tp9o1ZlVdgbXzMbFwxNbW5ESQhpMcSi
P02yDZPHWsf0pu4mzYsxCgi8uHLrChWfe/oqb3PDH0X2zrcLqIsShybm2gLjom/lCLaOkxJpMzZo
N2Fb+6tclMZCWFK99HYPJG4UxicCi481jhFEyuneagkR4L4XUMKFUMUuKMRsaIKGX3CHorXRFj5K
K920eZpze5vNklAN8fy0X7iFaBYQAcp1S0ZzSWAl2BC5nGs3iYriGWPAGprIS6m4MqQvrkukcSLc
1pmR8y7rdfs4VVYAi6qheVEvxh3sZq57NwxVvlAW5RmF1/ALtIpap+ijHJ1V23ZE+5rA3wCmkQcj
n4NryejuzcHvjx3HWk7OOdhEu+vkosyn+sqBVX0wki4/AwqyKPQsHXvrJIU8a357N0XcmGmZfKAU
fBIaywDp+ncqpKxVgvIIBixpHzQmBTdZz3mvLWDpcAgQ95AhWLW8vMAm0VqAbUB9sLthl5v0IVEB
4tFU96S3plU8QryYpRFubK00d4kMz45TRFgKRbIM8Oosk1hXCF+YZXbN5OQUozrz1S77Bywo0UpX
o793S2taG5nDZttIjDMZtHbF8kQJq9XYe9e28vUsoQ8cAdrumvoMzmdDMhBftKcnM7MsgHZ2sopS
aoSGKooObifdB8iy3VXVO9nAItWyprgla8citgPtiz4NJTUWaTid9JS7F39WcjtxoviahpW3KyfL
2nWaj8FBMHJYh204bAJjAtdT6PmyB6O5DOO0vsk7xFoq8bwrSknegBJzPAtxKAxBTjLCr+U6b2d3
o8lFueuzKF0HEyVpSyfMuNqGmXCjeprvf4nJLnPNTYWYFQ9yoO5EK44xJpATSnf/rnRgjqpIpy2H
O32tezDiEsvtNk3r5c916Xm3kQyBhYZ8/c+JZ28Mu9NuSCcWJ6G6eDVmof7AYCzjAGzJF1eE1r1L
vd0dLcThehS1vskqq7tWk6Q/Wrc4BWaplq6JBWQsulHc3ceWWR68qDXfSLiNO9Os++Ng1MU1QlmL
u8AWp7a10+UFd9/m/XgfinymLmkivsGcL49EAtWxtbNgp0eku8G6pKvS8lgys/AEYj3ZxQwzoRx3
rofPyXOx0JvhCjujYcxdGNMBgEK0yUmc3MRGFnyKiqmPAIva7etISggTrKbio6HSdoc7rcZ2IobP
uexSeiWq6cFUprGsgsRFj6BnhXR23X6qw944TlHQHynuwFeUOXrC762OzjaKyD3UVmMzlUlFBIAq
5iW2quipqqsWW6GD9NeWc93qvNrzRB/eorTOHnCyA38mFzusewJ+QOCsCYt5Jw92I+/kpTAhbExB
e4JeOz4eJPb3ItWfx0vNQgmEJn6CLzT7cGXpdDyJ0rmZYbqUNJCXytedoLlhRO/AWD33OXhzs0Mw
dzxg8mIJjkzS3Ri+aIEIo7Hb9hRD9AN8RZoMQqRYWiP4KrNVNzdJmHOnhE25RBdq1ap26Ju4bPr+
k+L5XYpndlH8cn9cvHNG/mGLfPkzf26RoUXNe1oOZJyOvtsle94feLV8EGMmmDoOy2yg/zJyiD84
yiIfsMaRELvMuf8K9bh0X6Er8Mfg1xmct/7RLtn6SRkQM5RqzvWYBgfUHw+mndFG8RQN2j4ABrUy
6wzJOQFzvOiY1LDE4slFxm9HYMYdRMllGgIkdqImv56cwBqWAsQdteOxenc7kZ8mTOuvvp7QpBhy
5sSrxHBvNZSBxIY3Fa+5zWwR9cg4Yet0yN+oxvxv9s5kOXIjzbqv8lvvIYMDcAy/WW9iZERwJnPc
wJiUhHlyzHj6Ph4pdWdGqpiV+9qoZKYiwUBgcL/fvefeENEAlsxDASdZG+QuUQL/yVNZ/khUdrgz
h5eiUhDY2zh73+EK/sSwZzDWy5CDcs3Menqh6RGlDS1+hm0CLimksaG0JzR+L8qIQDYZK7iM5Yyt
ChSpmQQ8nrU5wUPdTJiY86C/0Wkfe9fjFnY2Ulm+s80r3DZrZQNCJvyS2vsmAGkKQyOMr20SJ/6W
bpuEUEuZw5HjaVu91tDsP1XgodHvZqL1aKEn1PXx1S+G8hMqMHIz9Ir5lIxZ8zDXafQC7dwCZkdj
BvBnYhAFZe+ku7GD+ePtIqfqXtqsS3GyU4UKKnX09vmUZLe+XUwP1GcsO333z2118DyCfqsG+8pQ
0jfiOvN+tBLvXjQt3IbULl55jwsgNQVLPinqQ0g/7JM946Olq63dOuNsX4VLLfIVXO3yKDvoN+m8
9Cd/GnngLK1ojsPCa3BlRhIgZyIb79o3C4unljHn7+2i7p96Nu2rtBcjzVnZID4mXhZ+7Ix6OtSj
bLZlGRjX44KVk9C0u6rwdq/HKVyul0j0H/Jsrpu1DPCRjKFqTrHvD38GKljSVTR3RrZpcye+G5wy
39ZNUKbEfoOGMiXhDTe5MSmN9Ouzl+bsdWzBrOyjhKHTykrH9nMKQzVfjyGS1Cpr7Oi+9BnIXTH1
Tx7jOrM/WFGRPASL5Gg4d9STwHG665vYOQkrHUzyQlXMXL/DoDhjAraQIa9GCrMeo7hgUQBp6pNR
RooFfRH8MarRUzvXLCLqacifJlvCaMEjFTv07pIjqwzqmWz3PnZIeOPlZcHAem3JXp26soNVH6MJ
R+ZSbALQ+eumgMHK95i9G0Ub33tT2t60YmatRLQg2IpqbK7jsHRoQpijYsPlWj37dmPe4Tuo8Ek3
/HdRRc4NpJq+2gITq2/T0quSdjUW3OUfAfekDmOVCIwkp2eyfJMwwpCY/E/FDqvrVlMwzKn72Faw
rfLr0jSnEmA7ia+FyVg/rsKBQe/jPA72fKSiLr1qRvde+IjmteMta9tOIlCQKniaQB0P23bq808o
RDPdpyH9Vl7vBO06qy26cIpWPvXsCuvVnAheonTO4mJPzFunLqbrThLqgLUhV4C6mN9QmIvbAaal
b8O2U9wvj2HLwGiVkPJ4N4WjXVy7fWem915CHiPYOPXSm0/O0hKxyleeW0raXhvjauzVe4fOpwcj
8wNa8BS7cVsNxyEq3RvqgRTLtwxf8JTTF9MX8wMrN4vGACgclS8j9jFt/jAqWz3mI4tuB37dLrSD
fOtRcLHBp7UqwhaBt4lvC6g5PY328DeT6yE9ghPmN9lGs++9sNkGifXJDWP6Y1MaqlJr1TcQeilx
aPk1uiezaZ33sWM7h7BV1VpwWnY0krZ3iel8Cvo62pBXhLY0DsYNO/LwKtJP67k3P5SiQ94gJo7m
8btqhxNEtXwdduYpTSwWSKAEwVu18bvJRj7I0+q977GNAezyisU/J9ltPZpYPDAX5+8jW925Y5re
d035EX8445v5REe7uQP59DQkjEeKCS/BaM7FyhyzYWOVORvDfmKZ7sV4ldl85yumBQ1Rvdi9aRLR
HpXdnro0jHbM04e9ZQ/ORrQzg3BUTxPrahYfVeQ5CR+vXj7FE/CXYBqdHYswRme9c3L5tilHVHRT
GX35aE5NtTdkyaSJSMW6m6vllgqvFO5QxSrLT2T90Mxz8GgvivbnKOnyh4xB9x36we9eFZvHLInE
aSmCZssE0mf+KyehH7PEt2DwzdGzh6N3I7GMbZpJWtslaQuQn9F8m0/Y9edBqHdLhiXDkE5L3CJ5
kMpouCXAp4CBbm8LlYEdLfLiacjD8IG1I8jUHuq+rMwZT/Bwws5DK5Jlx0yaw5e4NZsHxtzjvTUF
0ylRrf3oJkH51I9wAjvbPbZeUWKc5tJJDfODbCnuYVBFAVY6UV7m8pdamfc6TkP7yBaG5jZyqju6
SIJdT6Pdn2ADdHPltu0XKig6mlVxFLTOLc8Y4zrtEs9aNXHRPJK3zDeNV2Ynmw3aWoZWvQ+mNn51
8px7C4ROuyag/8hFmFOxZeaoS6FE03K9bQKMciOEee+Ritl0VqoOxWLb9zklnhujn+s7OYrPclCU
ngkje4KuAHar86wPXeXQIcbYTHBlxCBqWBe4a6gJ5Y6NBAWC0nb3olbJyRjc4CjbcSa+lUwHt+MV
OWWLezBy4YrNf9bJ/w53lTNlYer71zry6aVsX9pvDc9//cjfSrLzm4TV7DGjlI4TWAI19y81WZgW
TcuOhSyM2Vg7nv9vncwQ4u91MSRoxkwCnqKtsS6M3H5BPWaR/b29D/UYJzDTclAxDMxc92Ke1ISd
n6fR5J4Kq/bFGlSsIJQsKAVs1n0LgatZeRDSeetlhV2Ft1U5I1UpaRo8GRe4XeIprxrTKI5tC+ps
2hqUATjhlR+y82NdONDUDHZrqW+z2HF9b1eooXDG287MEqL1s+WhopFxc7to17V54V5Dq2hfMyrH
SIFQAiosw1s7MY1kOahrkvbUlNEQMD8Z/gJnfTnXmDXBudMM3SBd9hYleeZ1OYlcrtPW5CbxoLu1
V3nD1P6eKqDsSTVh8Kml7ZOnEuKUYDM6pPXJpVGdBTNVawaT1YpDwP3bTucytprtCoU1uqONwJl/
lzWl+6lhKboxdJdbMjgoM9yzu6qHzJWcS9/ScwFcdS6D63QvXLYU+SGljuyz28rmo9XqAjmhu+Qq
SuXyab71TYVnh6n/fOAf4c2A3fAu0X10mCPFtkvpqJtYd/H/0c11/bnEzjz32Z2r7RCrg2KFxIx0
cC6/G3UPHsCS4r6HpvkeGH54sNQ87hfdnBfAlzoiIOkVd4LAuwoRNjCVpsnvXA/yIT2X8A2VZdzF
RenvJ+lChK3ojGOoUD7HusFv8enyQ4ry1sMUAbnHmWTdOHKwPhjnEkC3oQ+wciJN30ZWLjzP0zzd
hWIcXSOY9E6/BQ7abymVAH1rhAB7R5qpQJdAE6dnYflsQADbYcI39o1uK3Ria3llOU7zYCvoMtSt
hr3uN6zOVYfOQuvh1C/uIAiVDk4HS3/19/+yrnGG+MaQFn1c68QsziG0IXBKdUxrDGglYMh2zKuN
14UNTCmesrw4hA8KbBhJbC5bOi2E+fqfJ+q/90QlBPbmE5VASv+azd8/U88/9Lf0IH5j9i4YOuth
mpYX/nqi+sFvEnwRj1kv8HwWJTz8/iZYB7/BNQpwNZs43y2yHd8+YZkW8lxEkgCbpX/ql56w3z9g
oSiZDAh9yZiOUiXrPE/+xiJhu3as/CWMjgND3ZiVkPAeRhEtXONlt08a5iIDdl7dNl03DiYW8lMB
ccehu1JeMeztRjR71s5k5b45jf8UObEuJof8aXw43kTwjEBTmJeayNTKWWbEcw4eOIzqLmBBfOdj
r+JvoD85W4meqL1wDGebqHDVRezWjHpo1wWDhfB3vyzFQyuk3wAEha/ofVgASd7OcTPSxsqN+amI
485V23yolx2itQG1UeK6v2PT47fGxnE7w78igLpsHDMruxgK4uhQmFs5XqbeUXkcXVWTQUUZ9p68
efTDFqsiiiWLbbbtwRFYh9DyRrqdVPDM0z0mXB2Mvn2P46GnARk80qiaAodMbuVIPWPafCkoYSHh
aZOVGxy4wOuESNzM4paV7m4IrTg/duT6M3o6cY6xwbedBxJ3RM0g3uLkf4+h1NirZFFHTD9i34N/
fE3MWN0FhZw2btqeRFQd68ptn70yme5FQPDUazHhUW81HCdjMDaJt/DEzdkj3zaOPV+XUbwzKOZD
iOpF9Wg4wSfTTltggG1VbZYsjz/SQVR7K7OX4w2uCuNh6fGqUu0yt9sxGabryFueTKyrd2rGtjgt
Qemt2tEV0c7PDOeLagn5BHXcQsGTqLy9bSbuo+ln9eOQlPa6CP3iXg6LRyjYViK7Qf5v7XdppBCC
aIK7W5Zmy0DI2jXAWZ9nNsU0N9nlYXJruYfyXO5qr6OKWygX4xmjPl05JK4mO6y33kIxPGjJhiFT
jaN36UAlNpH7wFlvTr6bqV2KbfwYCTs4BsL1j7Ew82gTlmb+sSaT/1x5DIiakRwZDHODsSRQvVu7
tKZrezC93yPo7zsn7Jot2hK9hNbQ4aca1NZKqs6lEG5wdkszTnR6wp58ybjsV7alpnXHlbYCJz8+
mt4w3tIINZzk2Pbb3EkCtt5xvu2MpQSDk9h8oM6mE61QqGcLPD2VxFzSBNvD3YiUP1OY67gfJb9k
bUw571Kf3mgZUKNtRWlMCes8/6FpCjcNeI+NP03qyqkdxMaOSd8n3sRUJYZsFg/W4Kbg1UabCvCl
88p5zxsYJcmTbeuvrKbwMJAGTc6wlDKaTR7lEabwNjSe5dQiBzhG3h0CVKJTUMtKQksw88PgLarF
z5rH11RRlCew4Zw9eOHL2hn0zHiIdzmIkHQF/8h5pcR8BP2Yj+p5GevyOsiDgNO3NJkuoAjpiwrC
NZhqfXfFfuOsItYbw1673XIUI7g6Xmkmcu9llXvIOvUuiMflizcs0zYcW+cQAPdYMThmFg9OuLrl
STh+IuDsw+b3YT+simgpxSZLFFX1vJXHeVW1yvtchl7Qb2SjgHlUQvjDLWqcc6C6iBRqgQ0EK+PQ
xcX1jFXTgvI3DIcqciu5YaCDJyBlRHwnGY0rErORdYfQNj64ihA4XAuoMhgJ2vyOzsAaURG2NDP/
oTKYXwnwpTWzwVuXx8GpiAGB0nieF+9ZCDXkbO2u2k7QCG7oNmuuDby97cbTylSiNSqPJVS+EX3i
bEytYblnOUtpZWtYpLoZrTi+T6wxe1drBczXWlg098WmqEemW2epTLZZ9pqS4GMQeBbTGGK794BU
c+MjpCLktkkrb9ZZhPPOglxUK1ftHK3TqcVujnMhxk+RH6POaj1PaGWPEeNmMVzg3pHW/cyzBEhj
iXOKAxBJ3gjfSNoVYiHG+fiBtJD1oSIz8ejNUyGuWoxL947j1OSK5y7L1yQR2s8VfVlYRsn5S9BX
JLKxuGYvcRM0RMbFhE8QpRjxXIyS3hTbZ2ubMbGieVSrn3JoOVwedcOfPN8RE4143DWe234mgsEh
osDEbs+zeZfOdnpQmTVtG6268myYDqlWYgetyQ4ZFx3PeW7yDA2CkpJKqzCauxOc5Vys0t61OIu8
3mxpwbdF+0VkQQYeuqY/dbT0nb82mtbiU8FugvG4zYcchLclaPia2sgVo+/URNkn+z0qXn1I2Szc
B3YsOGrxaiFnciFKKlBAGl+nIY9+ALLXWBVDlGpqRcH4rlxpQM8QhbHxzbLe1rWT3s6y8vYOGwd+
YJmsO+ocEFlHLZhLLZ1bFnhmyH+oZop/kEs1PqdacFfkzU+ObJx83dYxgrwMhtdBi/QZ1raNKqoJ
KJ/yv+RazOcqlfTDnDV+IMno/aSd4uu2GqgX5HWqTravxwfSjpkTiHbxnG0/G7OzQVYM7N2sgAZt
JqTG927adeW20YMI5zyTmM/ziYhyyxBGjJ5bdOcZhh97I3tpXwuM5ylHrwceiR59sITj64pfDCcd
7gyauB5n033KplDu0/PsxAYXtoAoie2b9jxd0XvwuzArEQm7uPo86zFMpwcyTCj4viAQMacx7LT8
bEus64Ye41h6oIMhBbWQNo7ixm9acd3yOOMu0mOg6DwRYt3FdAgnM5MigJDZC0awT60hwPvMuAN1
K3t9TNG0PcwovoElhelKvAZlASnEqJricYzN7rZK0/kBUGKCJDyY9sZtBUMaBZh+h//5MQro+WFR
JG9iWcWMkbjFrhOcZ3KDxISwRIAEurwsHPRfTTYKMVy8orw2X/ygIX6nFiM4Ii6NeoEpLfqqU4yg
s1g6Z6VGtRz8lDQOIlXvXneFuTirmoIfKt2NBfoX3NuBUvlFgjbgOZKuVem41A4Hqfpgpd5sPAy2
Uzj7npf+A3ctCWWTa4A6pyp3j0OqeBM4SVI2V1nD+dxMxJZDXq0O668qt/2naRLOpmo8gxIQXEgn
X2U8aOPArvd+5ebpjYrnbFrzaC8Q6/3pvQLU8sgwwfvcgOHYVy7qPmmWzHh1RGgcfezjJXkyhZHM
iApI37FYeGU0Xtzvk6IW97SnxsWRTsbgDmRV/WdQEhBaU/RhHmo/zU2CVJQvtHYPIGhi8mF3J9ef
LQxT/9nW/TvbOnI1Abutfy2U3SSvcRK9lN9u6/76ob+3ddZvjrC+3dn978YOP6aDBkajA2llNDOX
nc3fI2X/N+a8JgW2ge2attTe4L+Nl+I3jXVkCu0IGI8+Ts5f2dhdTJQJ+dI1xqSbsTUNy2wjv/dd
UomBgSRvxalkDQfSdGCoNl0pidMmjM3SRYWJITVdpxQpjwR8eDpN9RzzLG9Zlb14yVBaYjObFGYC
OWFaNlMifOa1fq3ZCcISM3NT8n7df3Om/2Hnp/+ybyK9jHT5g+n49YBmwVe4/Mv9th/zUC081iP4
d+emIMmD7BpWq3k7Grpf5O0DoiT+cEgQn9qVD0iBKiL3wphvJLldG/gemVhQAtN5RrrOUWfcfeo4
kHEYUxrNlVBm/SkYWSNM694ZIM0x5BzCnYxiUR1CLyE+uQweZ6V0Q1KjVoexxafhx6ZtgzoY7SV5
zi0AJXsnLKsTNkhqPEiwkpEQGXXPq4bdIAx8MCugEscSNq7h0v2SL0QxLB6AL/Q5A15OG13rSrsT
CFlKWXTESoKyW42uQQYT8GVLlKhr+34X8kq7md3EelbC5iIYbcz1yibsQOsPIPCloylH+Qzy1/T/
ML4bE12gQ4R10vUMwJXPgGnBDmtZJV7LZ2sVpVOGrouOXN3VQ+GmP215qtefrAG8FN0V1KveIeTx
F51re4g1xNM71cgYaEpjWOLZSmPRniw20tbtko1AfFxvduuPtE6D4O1Uy/UXoX8SHtZUr0WV1rNh
59b0ARF4Mj7bVseZ+1o4MxNSq2je8MnTDJgVlnXoGhw6r3XFZt1n/HUsGUmwTEtjYrAz0zS+D1lQ
M/VWJTDkr/DwFGrlC848inJmEl5Dr/hxNkfEx5rEfYiJ1IIWbcEz0hjj8C24DmyRj/FIuOHKoS+8
2HIeoajLxOa0JEZOanOSXQP7acFniOFPWnSS0zEaHxf9lXi60wgqV8b3V9OpETQGSdKEZg+mQMMw
3sTRuDwYvokQTRx4urIjR/gbSq1Et23VDNMqD4iTAhrzRm9TDVa+dUIvQsZoAJtS4Ts/u53V4YwM
Jsr10pBOikX21UuUdvJmniP3vTF49JMMdX7P+hMTBG/yK5L6jr9OrNJ7KaNs+FDbJh1IYuGSjUeK
2odxgCQfpyNnHEd1Nh+tyaW2htVg8B7iats9UMIKllMOVG2sBuVxedFJ4qo7s5ukvcP3h1cDiFxj
C3CsDkAeG4ODY1iv5NP57hKbVMafczpTncS/FumfNSCtx6SAovm12auKuEZaq7T6dayba2ZLf/NY
7Rp3ZbCBo+cJ8y2hca/CCDJY3FxeWnJTZnVFKU9rGnX78YyWZhzCjcBCgxOcWLXl7umEr04SJiDz
2akl3ThQxrBLQ2vCfi6bq157hq/tUvdheVXPUYgEM0YW3G3BFsQo5wX4HMDqnu4zCsAySz1ny2IY
740eZeW6Q7NV9zOG1JAtrc3jd8HmF7xL2AhljyErlitKwBSsuMG2D8ugQ1RfKdEk6DiXkznqapng
3J5mwsMIc592G4enSnysG4+qnfOFnE0GXxwAcO5jd9A3RaccvpFptHmGfm1B6w0aeJnnxO7HKfd7
6y4NAx4UfgQ6lZU3NUax60NW8POCYxpZlE5XXhip9LMSaozqleyj7ncbW3b2QfGEEPEaF4lUd1VB
7bRPmMTAiu/RuInakQl+k8nldGTOzHfe5YqOq24B3+73YZP9Ib3Sspgvz8gQW1hKlnVX8P5ZmhXl
BpF7CEvLLyzQtK5pHmKLOTG7NU0zMJLI/JxMC0zEJPJvS9sMPsqhDwmtiydviCYUnaLq31GXZmyz
ro3pB6kpceij+GDnQbgBQ4DvsUiGEZeImOUmxgx7xZTZHa8rJ6XoCWgAYbKdQ9yxZG9fa/ZUjlxU
Uy72voW/t7YL87NBsBVLDbBJTIQdRLpx8q9EZkVfcmiDf0yUWUBdVuVdl7sQwVUzb7NcTQ+AdqPP
0h7KbcFLCnY9g2QoJ+Vn4cTFzipNwrXeUkh8Cp66D+gmWlNCQDrPQn67Seoof2elLWZ+s+12eMIJ
PA4Ta1ZFXT2UDxiv+VJcS/KcWz1XfqA3oP5MU0f8NDj5/eiZU7pXmBl2zdxMK5Ogz35IquQpat38
3Vg4bbRTdJ+gs7AqoO94OeZsdXe+TSpzaOCXkYEkq5oMdvXMS6f+WEqK6iEgtyWTEbP6ELuuPrXU
aqyAlOAPcb1+uq3dyV5h9WVKT9TjTyyX9GH12IatJY12cNusWxm1nrOJTUk16URMody0iBOnpi2q
vZ83VEdD08B1FU/WLpLiIQ2rem9Ocb9RfMaPaabI2k5oVoeS/OGwnQuvv206J3xCb3TpY16ynTQC
d23QiufvZli2t0bcNSce2POVWZbzYTREcFi6bASBp9S6s5x+TblWehWXrfs8JMPyu0kT2Qndfjmp
UgX514H26/T/oz8YPoGDr8r/V/bFfZWUXfvf//XDYs7xPBK2OsdD5wjpuovFXFXYbAvqEHxwTXi0
1CH2kT4MpDQC8DS1VaeQu/zq7XWRXvV8vxBjEiyxJjPGBZR/CcBxwoWGnlEGR6S8+hOaDg+GutOE
+7ePcxEaZMHneS4BJZbLFsw182L1NcSV27dBFB4dqAA8U03FM1v3k8lzI+KvHwznpuB00hAaXFL/
BfewEbEIPPq6xIvaL4dSKoBM596Qtw/140KWFCSwYtbiJlkrPd/5lrfTRIFXG5PpHm13FrelNrlL
2tnIPXcgnT1yxr98PCYmluAyMV2HBNf3xxMw7tCPCnlc8Ea+//oKKmMm2WtZaoYEUhyn9+1jXmQd
+e74cL7p81LRdRyXi/UZW11Husc5KrdkdfW1yZIHKm/gciJDTgianwJuO/DvJgn+6ZcvUrAnkvNs
InBY0rz40FXpNOZEz8ex7xN1NY6Gjdg6Vqe3P+aPtwJHgXpMWQ0CIjuT709tHlpjGULTPkZdrK7m
BOSg58+/GE/VJ1MyKvQllHVdF3BxFLezrYYae/d4Rl25CbwMC4fWr18mMgDlRj8uX553eZlkDSyc
OqnkkRZBeOGK/AbS6AiBCIaWuO3qaVh+sqX78fnFM13f5bgWbf7t4oNBmwznkVaQI8kh96Po/QgY
zcBSBERwsIVFDEvZbXW/39tf249PFszZMMooO7dxaV9+1IC5iLnU0jpmPa1AIVL5qQP5ullS1/9J
Kc0/fEQuDlhyrMF124PeYn4zSPWYRHCowjpOKi7oh6RMdmnhwWCU5Ymtd3CTvmp+/fN99eOYEv6V
fXHQwWQ2FjPXPeZuQ6q7gBGVm368Z6Pz0zv9HFv+/nUQoE7gC3LO8+of7jQNmTF5nsCmaQN/lYpC
jivpmfkjlFKFiAgsjXA/y+RpZF0H6WRuQZcPUwi6t3XYXFTgWSJaBgTpF1adSwntyM/cOv/Jafnx
wRvAKvQ0oA5knLAuXihlIkfq20Ku8MLmQEmY1J/SyeB9OaQOl1oasKx/+5sQPz4hoDpyV/F6DgAL
Xgavoxy9hDYyLnHfYK07gUIFjTBNHVkxwSszrkN9vacJne193nwaBgmo1E4CSpxaq8n3TdRTXcQq
Kdl3RPjiX77r8WWBqgQMaPOUvBz0mw0hxcHnri9oWLtNTZl+FhFooja3S5KjjfkzGeeHe49ohL4b
kHK4RDGOfX9DNBQss+ifl+Pg6M5SM9WO/6bkMp00T+Lt0/9PB0M3Ym7rBjxqLq9N2FWgi5tgPp7L
cWnFDa7N1meXI82aJqq3D/bDV61DH4SjhWnrN568uOuKzBB1G5rz0Q11czA+Va4sbkR2iW8fSJv3
vl+BwR+ETskbgQ/noot9fw5zAmMMsL2RFYQCZGyyh8O76rdd9i40qqU91emAEuJEDmCvMSZ8QTOu
rQjv69dg1UyPMap0To8cm6V1KxY4ux7AHtNwkbJQvWwadHXD6UhcYWGiSCNFV1YBVv23P8mP3w92
FSwrFu81DH2XS6GknEHZFG17xBrnb0awEKcCRtE+MqkTfvtQP9z8ZCa4BhzYC0h6PyAousi0ugG0
/VGZFBwTheTzN1UT0E060QNSTj/VD/Xb65sHo8NrDTYltz7UBQmz/uJbKpfCFo2SztFtJucP/DzD
EY8hLbdaEHG9FlWnWXL5rpom6ydPOuvyEnE0FROPkM2RNfRF2zK/fe84OUQnwGLpUQiUpGVDnYWb
tXucgT0pPSId/hdY1JmzgXcu2tsggj1V2nQiXeEyB13F4H5+NPsCFXHJtF7TKE9vLHo8JKvF4zpS
hdum+57ff+91s1Hym8ZEXgUA2BhmZ+SdHyT9Cu+VvrxyLDjLfu6UqI+Dmut2ZbntdC9H3e/ehtBy
qNjRHfHJudTZjzAP32DXpK/NFFnxMKI23CqsN/vJSdz7ahbGsq/wNa9QsUv6wbzGokPBTM1y3RJN
DVYxNpnrLnM8AUOgXsZNNTcLG+glOZL2ELgHckkHUS+Y7tLr0iSyQ/s2h7F6sZdUY2xzQdR53RO4
Eb+Pys8QxY2U+4Uiby2GzlEW3w/zxL9TkAS8z62QKGGkBWF85Q4Zu6KyWfivS0MVzHnxOWQhykuQ
63VNU3OvxWUu5z9Ry6lEykSk2LjPaqIAPvKN6bGeKGW7B8uWV9dZ1AzdQwvtjFbb2uPurkRRZ4/V
YvK+UH0nmh3MF4phTNiuEWUW2aNXC4rIAd0sKLypXP4gKNs7N6oRWooac77miXqkZsdHly+Snorl
icS5A4zFSp3rgbOpS9J7tLkk62hOdOuZw6ODoFx1S4wQ7heza2+hNfIbe7h/IPBG7DUEiHvjaaoS
Dt1kZJI2gQknCXt7brdMhMdBdo8iMWIcSlwu8T37VeLhYvbGeg0v0TkMA8VP2abvdJSsLmvsvRYs
OEkOqT6W5cBGAhNu4l07QyiAMpxL6ylvhh9G0yCalk/OedlPOXvYlZUEqIxRb07qWZSSJkJCBVxg
Zey71i2tvtP913UAmj2hqiVykRpiF+zJkbI4ez7BDJj8BrWtmv4MqKW995cBjudZgpN5zx9jx5N4
dlKLJrgwxo7b9i0g3K+3lasZhaa+Z0bPTv2XUiZIbyBXxLOYRAx2hrciRdodJKm1ciVXUeO77Mzi
XHJerVZr5hir+i/QYEfyzwk6/NfRDCV2L6G09UIicljbMWMEqylSrcQq5PlVnbL9mYSJAn9+/Xlu
j8gYo11519JjHrHKzGRKdxV8LfwhQcRtWtSGbrSZHU4s7hgHv0JAIdEDIXb+EGGinexqAPaP5SKa
6XM/eTZtH7kns+zRJ35EinzKxbObpvTA9CpM5j98g0nGFkCv5TzMokYFjmfWxjb330hP10oyBoCi
ECNXcK04THPgYDqd7X1gYU7334poLyX2qzwZakqCwxAy05pHuEyPuWpR6+ccUXKHgrb4SBLg/Y4F
c1+kNhRyTBtytfQDlrzzO+U/wdufBW+1dvHN63fz0r38hbS5fSn++O//uq56OrAuo7dff+rvQan/
G0EAXvywZnhVIlD836DU+c3kBQaCG3C1bYFX+d9BqW3/xvPLMhmEwq9hE8d+669BqcUvRLfhdQuC
GoNs8EsZA/tiNSdYD6Nc0H2mQ74eOJPvX6CUCo89nSTqIBnwI6alhng042ahSiKBV9ukfreStWd+
aQ0vfKYOXNFwU4ZHQyXhUUuRvHY8cV1RAL6nWGTQ3pucOBK+xme/LnBZxbUkI2V2wVqQ+rkTpdH/
kSoCvFMcUWxlwTeowcPSd4yjvjKdeNpQ2TRseEvwqIxMNe67wliu8Gu4Tz2jxNtvvrJ/UBcvVkyc
AcfBYis5DZxTFhHfn4EUUxuG3ro+YMmb7gHFBHu8XQHPqU5/Lv7ut493sRg8H49Yh81YmjE3NT3f
H88y4MNEWVajqypQulH+RaMv2KZxDt4+EhfJtyszfSQPXj3rMhzO4gd1aoEdAH7dzWEM4ZG1sLno
kaSxpyEueWJe5uyhYIaPbx/0Hz4eYilgZnYGXKZnXPQ3SkBqWuQZcekdeE/OjCZ0fKyFjSQ3/STV
/Gsr6/NHlDjB2Y74jutdakZR4I9JWaT5QZij5E2nimU3uTCD7mAqP7/9yYTes32z0tUHCzzuVt9j
tau3dt9/c1MW5XHBe+TQxFMOZyXG88xAErQnm1wYQHM83fWqJ37RZsPVkgPEZUzrtr/8mdnh+VDZ
TZQIj4fK939GLlpvLnqcdU2f8UrAENXSphaGz4FbE898+0P/eA1JvAFYmtiE/cM+VmEotjvlpoda
LMtD5at20xncwTVZ5fgwtwnMFK+kguonx/3xMpKmB8ARQ7G2JFzuKpi0jUnk1qlGgQ6YF/k2R7sf
R7pL+vTXjnX2qRBPIm/A1yuwX3x/Qp3EGMUQB8mBRWJEdJIu31VtqvkUUXT17u3zefG8/eqJEWid
FBWYztkB8+2GJS06vJx43A7LvIxiU+GqOuaJPfwVAvyXM5PL+MDZe0MIDVXufLla33+m3s1b5VZT
cghNqjRxfeG7ZLJYgkAZbPkUJ0nBooHVBq4NjPZ0ohVRfPP2Z724dvRnZS/Kg05XDbs/iC6YWLOk
kR1/w9CSCxNDgy97MaKb0J6BtUY+tl/Xnn/yPL9U6vRh9byGXSFKlGVe9jMMkYsLDkPKIfZD+4NK
3eKIUjPf1sSx9squmdaBYpzK1ThPkbcOx34eDqNbTr/DNWvUaw2C7Eh9IXFlHZ0Lk5B/LKnx8PbZ
+ae/E+WepQFTLfBwl+m+TNrhyBbTuEJ3dL/Mc++o9dDk2FHD3B1dcmFYVWElGp6HW3HMbpgIz9TJ
0tF06LPKOQVdEB4gNNi3geG23s5llpTSWxt4P2M6/njV+gjmjDqYsOCpvfxTzYAOojYfk0MRmMxe
s8ifMjyebbd9+5xc3PV8ddi1+MoYZuipyuW7MTEsTorRJhABq+UBnDFL+zKr5ClvHfn09rEuH+fn
g3kICHriwGzyUh6f/Va2zpTyOKcvbRP54bCBDNSv4QJkgJrqaI3vYj4JFv6fjKKEjFzJbv+zP+J/
2DuT5biRNOu+yv8CKHPMwDYQMyNIkSIpkRsYKYmYAXfMjqfvA1Z1/ZnKtkrrfS9VlaIYAcDxDfee
+zkv+8NbZf01bIZCK6V1lb/9bvQpQfxbPBnx0Wchrk9+aXGY9uFsy1MySCQwSOne3TTOoiwbIJdr
mZLwkGVFG2xIXAJrmYzxORwGhlcAyYZNp3JJxHDZD1lkMRS5lmkH+S9T1sNS2vHHiIH+OdDlcgX8
B2Q0VK33FYxTwcAYmP/YCg5c0EvWgzsU3lcvleLYY/q/pFAzCW6VmfFo+IhzdBLbw6ZEmH9XtaJ/
K2Mt3heDMg5vqib3da7jjyowXFrZCm3XBrFQfATg4XRYStIh3dh+u9YITeGIDaB15w2Iu/mDVbH9
NEEGVJsZ/r8RdXPsfJRj7wD57iEC7DoiLa5wKypi/jhazHbMALRzeDdd4n4kMIAt8A2UjchWRUAe
RhYmw16knnOYHIbBWwITup+BP1i7Olf+C7hW8qvgjXG/8fQnxb5oQv55YAvGfWDRoqM9H/yXBbrA
doaJffXXv9shCAbZ4trOTmVTN218XJCPYWPrK+8ZkNlKT3efX2/sTf3OYn1wL22VFucGGnx6is0E
2L0lqvRaJGE17NSS5jhyPk+rwdQ3bb9wQn2qvggX4I5sBE1uVJbmchwyyXen3YAcvVaI9NEhNOHb
QCaaQRSsqL/YBdEVAL74OQwb06vXA2RAepK9tyKcWFa0LbjvEEnWssHw7H6FBGI/BfXYWhvD4rut
bCt7L5PKouFsnDfk+AwTeWiAxMdZRVz1hMoy6gvmCmJU8x3KsBFpiWNmr6XXczThtn82tXDKnb3e
h9XUxETMo86JdBr02XaZTQoYpCnLnihD7iW/6pdrMuky3sS0XhpK+LjcV66BwW6pqHOGtINPlvMB
cMvk0xJHHTfYDlKEfEunROBJC7h7iaWbv7QxeEv0SnQMgAaMRw/43gqNcfQ1Mcr8XATlLlwwNOCJ
nu/Qfal9n+OKQnfW7BTyqEgbTXvPzjM7iaCtbzCZrYGvZcaQphNX8NrLeVDCO7I3ih+T3t81oKff
lFcXyA6xW8Wx699Vi38gF4KoOFI8DyLL7ZcAlM0GZRdkSQ2wsSCRTxjzgjnDsiITo/M+nAEoOC1K
mohv1XoOs/EuS2p9zs1wn6aQEWFbNmd8jbjSDAglJByGG1XxscoiaKO0KEqg6YS4WWvkbu86Ly3e
vCsy2LuWScGGoMB5O8JjRklukQypsicv9iokHtK6KQEEEdHhoneop0MRkshZIGMExCS8bSjJj8zC
9KFL9TuB3W9yMLpdTtDsVnsABK1ltE6GCL6rld6AE1qWkZ4D3mqDtF4rmyQOOzA3owUC2IO+XjiI
SMb4pqn95HuPe3yXOno+p2XFAeysNVJl6Vsvs+0rkBB1b2ZldzZGt9gui3cpfMVwfYNKzodLsx4i
SfcLSCTJVmSBDAQajrHa6MRmRNw4wMxjI/Evg1vyCzUlGy2Wv9by5C6Mf2aUtwNYbyu86U1T3VEo
Oel2QtNHSowon1qpkyesHdNX3bjUD00nA0SW46KvBYKuXVxhhHeKPviZV1lLhKQ3nxi7VvyjVNHX
NhEPgTtND/6k9c5ehmG3vn8AGzZyTKNMqupL12Oe8HnSyhPWTkoBq2jiqNXUIkg5eRfWXhd5ws84
iuppxZnzRvCRWoCCp/UZuP+2FWXePlwEnoBpxPrSSqu660T/7COl3ZoYEm8dtQQkdsOWgg/vFU6+
x/sJUlF2xb7OC/eLGOYOWeqQfOvzZLqxh3nbZ/F0zqdBgNsJpvDVzmeieNza6rJo5Jw81WGbnuH5
AdixiMQ5LiNRTmwb654WoTTuS936u0q332swNXtR9eMLMdXBR+/MUDG92rQercr1v83TEi4HwlAM
UDETeNJmoB6rZ3WUyxLezqgc79sSR5/dNIxRe+Uf6aDDY4h4sgeYP7S/pBUEOznl+qx6++pXjriG
cTuVkROaF/w2NSVM7QO5KcP7MlYxNhQ7tmn+89RhTNGajwZ5mJHZl+GZiwosyIVsy0sYvmptjM6P
eRHdvQ9Q6jQz1t4GjbK2ASPiGHImuKA4cQ8Ie8u9B1JvxyDeIZe3a74kfUfgRmzmpzhX1pVvMNva
1RgppruHkZgN7P71FfU8SbdVaH1JVOkecUHZlzCB90Tukfs1Rt+6rYKpIV2DeOVy6YK3gTTbiIMG
oXuHGTJCYtNmmyJ2g0PKZha544SFjoDf5LkWs307iKC5E0tM2U9OtreRnZGTpV4YjQMFjEyYsqj9
F5dQ2kc+WnIzG25AHE7slCdthPpXTzt+6e1puO8dYw42tgyxHuP75Z1OVHm7OjjcWzr2NXoVogCC
4+Zcmrrn6erldcqr8ov03P4u6GaUvWxnwygLg2M1L+2JUBZjgyE7uGGFF1/zAbSBk4zV+xqz6e0K
GapvTuKu2+K8+AjdKosj6aNFhLLDLCkv22e/k68VP3rXqgabVeguFsIjIpjfBNYtIFFGZ5wSuYa7
BiaBuYpw4i3xH8ONGZPVIBpcy+6Q7YoKUa4RSjgIklEtPnLSuJNEX7E5Nu++WY+ojXJcYSHvQIwq
7H5cuKwYFPsvphi797xFIJyrkrcGhwCiagKaHF8V7lNPcrXf/YBhHTgbwWIu/UgNAFM9m+OUB7uv
aZN640N5aX2dEVjeZpM7PBlJPL47bRa8JCSs1JuVZFaSS7IEGIRcXZU+kXB1VR8Nz0GabOVhsqu8
8Zvu4WeKolIgekf4a7laHZ5TYUZUURjDLe0jSFVMNSwVg0EuZ5vfqp+PTp2LKyu2Et3jxDsDyx8h
ueUwENzF4ZQSXZ+r+WjGK4q4hb22Zb7fcJzpJfka2LlFpigxuidU2LxGTKZD3Je4l6KkW4zHrAzF
PiwarhsvhYMtZH+WSzb8kPRGq4us3NZGxbfQBtlrjOKZbS4lzjX1pVUDP2nnI0aT+FmjrXszLGl8
WFjkL3EADcmtlzwyCYNmmTaHTyY6HIS0bvsaSyJ/sHqFEU7lJwpjUlBjD7JaoR48mzRgPMV64XiN
y5ibqnpGfSk2IjAe/JHkm9yv0cL7wR6Uhbdpa3BVwG6rzUxxsvV9AhVMhKebgB6bvTh52OGcvRel
ldaRQZ8MVI1ILu0RwTIb1n7wpl9ogEmtYuwbKcxVeyLm/aiovDMrETcys9HcVO4ajR0mEXpFg/hj
bmdk6eaNdqvDsJhQrvnBaTMEB0srlLyVLg+A/uavyrPSyEJydCUtGtq9sDdqqeqNN47WOWOwu+uY
Zp2zVpdHlle8cOYR4rNsh4NMe/Fe9EBv6fF561AInZ2BbOwuzNSeGCKYyv2cXwpzPhReQjVPwUX+
yext+2m+mzxhstyYvaPbqjQS1UjUtZIIXIkSRg0Tf5nNTuA4zKGH9GSVtkazk+z1D6aXrRzC8BWV
f7VvNXFLvWR2sGAQy6fuHkDZW+Y5+yYmvUsM4S2kNlKL1ctULXdDEZ/BnT7JNr5y5DIwAtJ647XL
R66SZzMMH3yrPkiq6ajOy7dQZNBWSJ/a+H34zpq5i5Z2paGQvPjUlBnp7431PocmhZWRcMinFmG1
bb8NLbHPB4lT2yeLKvF+VGMoN1bFVBvEFR0BaVnDt8VefsxjdvLyAXO+X7IA1aFOvglgJsumZd16
ZoEL3FJryMuZfTARLKvs+zzO3XHo04urnkQwDgAU2OGnXfbVt5P06E9hEbVqHL4bVhvsZjwJx5Ee
5jIMrXHEfb0+5lqcXTvzv3udU2O8U16w7dKpPWXKYzw65Ws7QQLvfGgAFO8EXm4H1C1RWf3oGu0e
PcUDKQ/hT4jZ2jgbsmSgQ0h2F4iDNVqTfcPCqetyCFwsCUurXX+epYr8TTN0nhhcrEEJCajhEJty
gbWKqaaT98irS1ZYHTSaTUE9dPTtwSeKfej9bNsZTU4kU8jQ1OsmWs4iJBNtsOKXICnijy7GbLDh
X2XF4OIVbylFaKS2VtDQFiXc9sO24XhhzrTuNHQzxC9kLBu7mNX1vm5IN8mzZb5VvOOeEZjrq+EQ
ugaf0tj1WnniNjdcYsP7UNN2DD7H0tTldlSba3diZvP4K1+sicA5bV7Y2C+ElLXFOS2m+CWpDIbc
CZv4B7Nz+x0LTjoRnKrivWkmz7326bi2vGFPinfqyu6bYr+7DUrDEwdp2u2J2p4fbXg1wUwNDTo2
VlAkvunTX8EpffXKytpmLeXfxknlF7eFVwqV/FRLbKELr/yTVXS8SDs7Ptupy1AAF9E1GHxmBOum
5vPfG6Vj7DQO+1Ps2exsihLAve9U3z//kxCDwYPwaPsbnyQ9BNLL0bIL+dZVPT3Y3FpMCQJ7upsW
yh6DZpNdz1J7X8OCLxM1JRJ91OPsWRkUy5JcIGQnwXYo+OPqoRA4FFKSekN+xSqdirO39PXBq9zu
W5P1fIAs5ydyjiz3HYOXL6yQiSJio01pXwh+52luT61bz18KspyQ+qfiuCDeueLe0z3eED6XUzEL
ly5tnxqJRIxcnasDpRq9/TCUSOzRJxAdly1MRRhechgM7HtjATOrITJGnYoYPxP3v1iMS9gk8o3h
H5nnRc5EMVhuwrbt2A+XYc9IBkZXuqmTpdkjkJ+cS0k21a1rTu5Nky9syBaX4VW8FOfP+87A7rZH
hWdQ/gMuhE233Kd9Bzx8nNED8GogO8HAZMtQhDbrvhzW76Qc2LKZ/JFrNd82/sjXxpAycsiWu1q1
WR/g22GKGurl6usYVH45keJEBOHec7gDekfws0PW+PckH3lfEys0dmGKEhTkE/N8H5HtXPvieyX4
Kzi125Nfr/8vXsB2a3ozNyyKcn0d+UE7QBihuyXfRnxPTdfJt2gmwkPWcd+nRDBeTKxGPJFrw28S
0fCxmA5DpZy7yUaCt10VCG+MEmsbCqM1PhEzZV5Cc4rPYxo3b7gz5y8aJgh2m5RH2LEHdpNTH59j
aTZvhd8Bz8DeiYKkG0uEG20Zmw80B3zCGpTOAFUyKaiA8XgfwjqzLvQt7bc+XL/eSpTFmUiv5Tp2
jfUwFT1E1/WBtboi/VktlXxTAat3XuXdeC57HZ96Rq7VZiDh8m3RANsFE7le8ffCNituOHzfB7cb
o9TMaD16+aMWQUhEQ0y8xNjGZ9Fzdfo+5mHHhEGisw6ZWJA92rdjv0saT19tRuBXWY3xS4tWghh5
bzFvEIqad7XtxWe3XA11PZ2Pu8VMFR6E7TL8YC1K5uF6F0y4Ai+udBkpoF4doyIAgrKZwoG7xF/E
eyJy+cYq0mjw0kue6aZ14y0JYx6kFM7H0OGbghJpPC40BB9+LPnAYb/eg63Q3HkuzgtgHKiWAsiM
R8MnmNQPfNq+wEvHX4FHnxzRYMzfuyabX2d0lmLTUZC3jFJlskspK3gzyhz4azfWt+nUD4+ZmIKf
EnHkR9bMUJbctNSbZOLN5GST2mvX1xgQ8QqdxlDFL7nnujXuS7IN8C4x4N6WiLj1P8fP/yd0+Buh
gyXYRv1hcP0XocP1jfrvrf75J0P4P//Sv3QOvruKGXwUqEgAUSWQ7f7fpC8//AfrDddG009VDArs
/8scwn/4bBbX6GWke5hfUFv8N0rR/4yRN5FM+I7PeNz+3/jBf9vx889zg1NeCDLIQ2TIv234ajHk
bZUWy9FPTHdhBebUl2RO9FMF7SRKEtf9m9X7XxYmYNNXc8HqlkD44f22KmZukIIm8vQRQ2R7L4xx
jD61zX+4CP+DdOEvSz4+0qpZgEe5mpR+Fxn3bsfc1U3no+4J+CXeUN0XTYuWALrDThhTuTG7dtoC
KTYeOiwOT//5n0dEwBbxT7sL1vzY+an/A4sv+XfZPzsHjkvt9+CrichggJYu+9LnnTxi0CHXAR0q
GRsIvTR7TnMjmbKsUwy84lHHOfaVQRAptA3t2hU8BhbLxHRKCoqp2ONp5b8tG400zC4NTKCzzHlR
unHHIdkHGkFhr4sHlGZMAudgOaaOywnre4qRjau+E+mqD+v6AHVYYkL+bZRNmAm7w+UoFDI2rDny
tqUFfqTnmb/09hCfJ2KX3jBTZyTBNqP+SNGN78nyHp/LAdJTl881CbXkiSL3gsg5NVYN8Vo0r2mm
5QtqFf7iNBMT2HHe79htxw/hyFR7O3ZSNCe+KsTfCaIQM4rZEdsHkiH4mMLvrJ2/YIvGNsDpOjfp
nauWGvNlCL+WtwFJkH7W3jflCJtk9KG45T35Fp2Xssax5+xIzTLh48xa3B6Wuqdei8/L4M8HT5nl
SfULv47dj885jdizyhfvK1cHRjDajF1tMfAdiJf5oRHeRYlvcg9NtX5K+7h5gafFlVGyFkdvCnmG
Jl5sdl+HFw/p3VGpVH9Mg9RPouWvEFfTffPIErnEM0HaKunNR8zj3be8n+rL3DThpaoCvhG4lqC+
nWqCXuwNC5iBspS7TuLuw1Vu7RipFQ/SIzB0YE0SwaZvfzgxf0wKRE1klFhLcmT4hPjcGRSsHh7n
wOj1wcuG8gQSW95qH0El9GE6hM6u2xqkDMIU2ZHN2i8MkH2GVwfDjIsHwnILhnWpukV1sdJVkvFX
IaCW1HiO91UpBIeG2WCyVeNzHDbLNVQjP8pO9UGCZ9uYM584nAx5G0PljDxDuXdGIkYmjnwWz8lD
dnpYY0Y44aT3pPX4i+24PgD2dO4ShysRj9hKnFrqbUX7SC4Q46mPiSiZN6aUbgS3JWdYO1NCsuKN
4wdPxOoHWX/LtZ5S/WRNcA2YrBZAz1SxZxbX/yQf2nzEuYjEMinpVQy+2y7hOkI55ateb9GypqfR
MOX2S6EtkBYLV8LxGn1wTO5/WDComhM/Ppdd8TIZ3cAisSXaK/ig8ab8ygyimTddXFngPt1Xwfhh
peENz4nFvbmxDLLFrTVU1HHKV/z5I7NDX7KLd7kp15JoTrlQnm/0+1g5xHCyILgL+8m9G/CrPtZZ
J18G12teDcZKGNppuVorbl7tytU3uW24X+dgXQAYOXVXUCNrTihN6iiztUGNBj/988MFpCue4LQb
D7OWdY8bKV+uU6C7b4w+iwfdsODcjAnfj0lO03ku8yryJpER/Uy+HKbuGffinCEOINmFy1QVA+m2
oNW+ozsPL7nQcC6IgVO3vWclgUU0L3AC72Uk0L7/kbWD85KZdVUkx9FeaueY9YtR72whpuGq1YRZ
Z0rswXmwCwYBypn1kxnQz2ANxVVkujMoCrV4e+5Dl5EJykC2D3PP0TTUt0PDnqDnDjs7RvGlFx1J
YNiSDHe4dSpZ7aE5ufcLTRN2JWa/rZswQ45vGZiwdvJ5iBLc/qfKKp46pFY78Ei4pB39ngVsJLFM
/yxSqzqRKfADiUJ6ShcCb2tzkJcGHtOudMeZ0So2eBN1L0CP7gb0CtZ+XFDneSnCrcncP0I2m2wT
Se6js7CAY6Y66qilQ/Ly4EzetQL9oFC4yzBWJyQCYOqMmXkYGQ/40gtoZFVZfiRyYXdlkzJzAAOu
I8CwD5p8vZ1VGeFNniby2nn5tPdSHliVV+ZNpgl8HcIgQXDDhbTMUZwEI/xj5dPVyN4O4LcbBPrY
xDqNxA8cUuHLyDIqcTO5WXgcEvMrNIOQVsrvLoR92+XO4rv/0clp8iJXhcayIUhrzcghKf5oyQwl
hjm91k3MPIZU5YjM+OGUTKHJhDWEduvGa+xO3P2wm2k4JG7CO48XeLAfMSltCJXrd3ntqQe0iubG
7ItunzA5gMlUoAkOg/k1QNKzIRNovqnnBHR8WRQvoRE3fuTNnj6wLGTO5Hu0dYgP0shH20yFaKt7
qjPGlijd/ZPkfBUQbmIypFQhrW4jea6uTtnJG/aqy66xhHXCgAnrP015qrodjZXa1A13INNk9yy9
dn5akNxHbc4OI+jq41Ru7dFoGAR7y5sshXuydLU8ylw2SWR24XFe3PBUDbH+khX2sh1jopoLEIGR
Z5UVt3uBwHoiLaVzbOfe75yC4kCbAzjHCXS/DPbKGKsdTIdlM7k2wNHQzr/7HhkvgdATlEk9boZw
NPbAIRvGctV9aRq8y2k3TllmM9R2xnGbGEn4XEJ5OJQZd7xnN+kpwKkHnzR2rhiAsPUXk/GA2CC4
NdWiz6tItGRLHqas+r22+gUY5zaNF/8SzhCMI2eaGPmWruWyfkuLq+wW8yTTio1MlnrtTUn44csA
rsvZ+O4EBtGCVnyTYq4IotzMxS9ZVVUJP7X2ZkwsYjwt0AIjCQgD70npvkzlkLEwJzT+4hD98aOy
c48VdOeMC/HTRGO4L+EoxHFKC7IdIOkxmDOIo937qTu+N7nZRH05rXWBVPf48sqtp8a62QWwAm8A
YoJsiLWfk/lkVemptcf2gg23caIWxhmk1sbNjjPsyY4wtsa901acHZe0lu+WpDdmx6iL9drQ+K0l
Up7bvIdWlULudmATLJbpQS1xA7JElBAjLdxiouh44UhO4Y+6LBk3YFp8kGxSeQaQX1z8WMh4m7hr
u5lmJOihJL5bssx4MEjB4OMSbL4fAI8F2wTzX1RR5MGz8Wb5PsthkbvU5SKZC29nPVAV/rP4UpkF
RsXU3U+Z+zlkIeLRqJMrZv0AFrS1owz1vs7A0rrNWjDWOwtE4TZPrfKETqu+lO2yHB3RoUVpJg7j
drX2VZK1yTZ1O17uYdUYD3USDs+ZZSd3SUWlUbuevE2Wz98iVN9tiI7ZhgyY9VBG2PDR59QkWehT
noRKmV84BuuftvSacWugZ+OtjcbHS1asSkW0Hkk7Uh9SAvme04yhBmEeRlAzY2/1Iak8fSMgpu/S
YZy2ScK7vKHYemHkTMa4Xsvf0Gte/H4uT6xjxGYl6zwG1aw/Ai2zA1kRDbIYUBUmohaNxCTGyIMt
oTwVoN/+Rgbnmn9tIlApBzSNNDOEr/4u+iJiDomAnvBvKM4SQIcy36kKmnyDbGArs3rahqntf6B+
G4+o3ZK9YVpvQS6/TXVi7zKX15ThTsl2kFVzHVvLeRmlrK/ZYhc3QlT2q+UU6XyViazHmzZNA0af
ZrEFOrfsMwaHh4pLeEzCzL0TZNPvINdRJ5RVeOHFzdh4xhrjpFRRrRowWK1XFgaG8TAmCKcMJhWI
nBLhbqzacUDpdtzbnoPsupsaZNCEI56YbFEr0aRQDyYF/xFAdi59i7aGZflaI831ou7rUq3XMlzL
pYJCCmgxXjRYwF8dZrA7a44h9ROldckHxtkjsqcoGdPxeRVVpkAsrfK1tdFsnfty8aEGxiBqvk0w
YTgKuh5GEV4u8qAkABzjaBMciMLetXrsyVs+UG09N7FjsqSxZXHyvaVMTtAfsy1xg/wPMYVUvBUd
docozjzgrhuXSucGM3L30y9tQk+diVqqFWlesytO+cRJHcJd5eZPN+VMCeWjXiKvnuKKNkYc6Xq4
tQOn+4Y/lnViTXpB5yK6iaqQ0eanlzxIHfmu86HYt1mfHYaRt5oAb0RGVE8hl9be8Nxn5avfUrcj
KJIvwVTa2bbVq85h/e7CggX8eVlWc4KbGg8t7raTyQN7XxCVeIiL1K8jmK7lqWfL/Taj+nlz8CBT
Z0FgAeTA9bT7oF2xWcFFK4GdbqLZ8sq6+1ajSvo2zyaBYnPfvPZrTV2DnyV8tIdW6SzlzHannIa9
uSTVqe1AuRF5tAZjZ/59ZbfDszCRkjELbd7cDiQBqmF9I026li02H568vjE7UI808kqV8pY1iY9e
wZmbtz6ug60d9FSkseP0ftS4C89Ix2rZ3Mwm/ychYOrHJ00kqBbEW1TlG5dM1mOdchYpqZiGgAkg
Kzdcj66UQKC9q8kdZNWgvpOpGlzMifYWUGl4wZPWnjPt1xcv4YtrObgOtbDcqAnq8RkUCG3VRLJ4
sHbewH7lbVXQl/sZ7Ukw1csH2x6APFmAU5IEzy/j7Mt39j60OcIlu7GG0IUvdo1Q4YfWxlqwrL/1
7KwaGgJfuTGacr0G9oTif31UZzpZXiTFtGVrLF9dNQ/7ua1yb5OLydoBHaEjXZuGDAtgvU1nR92L
uuXKNDmvgM8zUNYJFkF6bA2AlZHmWmzQT9vsoBho8elKX99gltPXeWSq8XkbMrTmAE9IXj3OA5Q5
J6HTtDut7j87bSJjSz4KBAvPpGNVgJ1PZU3yOuRqlucB/IUhhuL52ZYZicHX4Cg6CgY9K0poXWpk
gd4XaKajKU0/gNTr68LjRpgOyVrxZsIIGAUJUwMh5+JBSWcG6Mt4mPqQV+HQsDNSw8hQpO65xMkE
Y3pe+EQCdgPN88Ij2MB3e7Ri9J201AKx18ACFqwobSQDk2lXVzwxyVy5d1bhrZJxIcAjemOHJgje
CWdYob4v8F7xtfWT+pHkdLrojPRTjcdlE1tteTLWphYZFccanRQbqbVDXleTm6Dza3QiS8ZPqiya
bLVwxNkm//xn3+wjx7jOBTyAeqXUGML4JcSylim+weUrK15SqhNE737emkgZ9hKz66luzPhBmGV9
kY1VbBU4jgvrZfW9MZldsHZkljGsNcpEiDEhblS4TPV7DncDNkNThs0rEfDBthUqvEw+52wzpXyF
qYs0XNQ2F6QoQNt3lK27zqMsAhAeXtb7WbXrMdzFTYdeuWQSFGY+tUbR8tfBipG3hxHrMV2njZNi
CbRZKIxfzYBbwlmG7uegWICkZpzc+Qh/EV2u908Bk44SkyGQx8eJ16nDZ1kREAO4T4q6eKjgm+9X
OdjW89FQfb4bzJ7RG1v/9M7nyKffXzHlxD7d+YkB0zmcwuCiQr5hpQvrEd3xGIUVywMPmTcJHlz4
1MvNR+nZMMUGLmTIYO6kS1FfFjCFF9eieMDITIgb9dJL102t3LdLQ1E0mZxm6HWe9UR5IgvmIqIp
QRhWAEBizrHvTRfgCfaII6dv9KLPUczYMywKLFYNSZ1ObIkYZHScJjKivIQHyTpir5oZ2WtPkfkZ
mdvbNtOnpuSh0DCgXgH2MhicmNXZWUyJ1lOw2B7+Uouh3o6XPTfP5zE7+3wbdOzoa0k++UY3pdFs
WWsoI6Ihuv/WRj1Ks/wkfaolA3i5Rlg18mUKjrd05DkqkAJ9E94oqa1t7jWD0Ll5Yk5B0m2VnWrH
VedJlgxv1qMSyIG1awu7uFsCi1BcL3OZNiCbtBXp6ZuUVpVnsmUqWPfs2aDkmI+28odf/qoZ7fnV
UTYWPLhZSPHH1k6+d1VLyaFIkjvlNQ9ZJrP0DsHvK2gNvrVP7zqIdB6VseA76EtBFTpO6jtVSe5s
yNlC9QbrL6RuGdwMtKjgkJ1Y5j83TYz9W496Ow5ccB0Uy7WwGGV+/vHzwdRVzivGQGv3w514p+Lx
c0710kM/sQy9r9I8Q1bQ8EBnjjonvsshM7rc2Y70F1yqbrZcpbdQCU++3s9d8TE4S+OhcKBx+BzQ
rRIux6IjmNqVKEN4GoR3axkONHB84gmhfD4dh8B5Qa+Rbpd1At7TyO4GlzUXmdVDcO7jvvkbr5D5
O+4gZOTtWz55qS47T1C1vxlrGpvUwlz1RydjOBwBGnDvfI9E76Rnh6kdjrY0pPiGxDB/8ZOmAt7v
2kfW869JXNO71JDeO3vUN/Uk1fcB3NvdmFnzE0fCsv/PA3qT/clf5vMB3lKMQMCbSFj98y8b+EHh
j4bdHY1sVbp2LOq1pBcTZg7NfaAxYVpBIWqONEWAASmtGGWsYsvmLZeMVj8v9n/+pT63En9eGtiu
jzdw/aV8vJe/7UaSgTs5zJLuWFU2gjOQb/G2CwZFdLIxHtp2SOGulstO2zaziXhgyJZLrq6frp2c
MxYP+cRNZZcep0HsNj/BZfv3gZfIHacshaHRNmqjetfY/uff/H/oVICVf159fCPo0X4zVaHNKpok
MfpjYljqHIfMbZjcUz0qMpruUdOyibBhHY2cia+d5i1SQxuIt0Pv/mv38n+ryr9ZVdom0tI/XLa/
rCq/Nsii/t/2Dc3g2x/Xlf/6i/9aV4beP3Dg4VGl5YQo6a3G0X9HveHLhhRkM80BwYtl+9/7Ssf9
Bz7udd8FAsfhBPj3utKBhx2ghoKAhWPxf5tLBD3lzw8ue0o8l3D6uN8QkkHx/PODG4qu7uNYGTeY
68Z7UGbAXJ3WPVVror2/ZtsLZPYPPAPk3Tck3zOsD08ryXSbFA0RMNQjNzAoqshUfXAsMjG6GxYI
NcpcM2c2WKeAQJOHRNpHFOsj/UOLOtqpn6eh+DJZDkT3KQmQ9FrIGT1iROPOobisSGhgKidYFDil
9ZVwjRSTjAWy106qW2cau8faDimC/N7ZagqHn2RfbnRgP+VN/mF/JtbFwz0auP4hbzz3oCYXzwCt
aPXASH44NzJQN5qgG9yJqioOjMuzbc6W4qInjwBQ6tFdni89sjlmsmCeob0WzeJtE75O0ClgbjYT
UThb+J+y2vjMFIiwEETNL6Il8146iIVd5V5EGxzL0nqQwiQeoA/Na1WAC49ncmuJUNokBKXtCiwj
G6WCeN8LWUXcMEzMECVsVFJMyGdVhNakjbhY1c3SO0zbXMM/V3lOi9zE6EbYdexnK5lrhmdAbCK3
mxOQp8tXJj9qO+n0OdSm9TRVrneaHX98qc3GImRahVuh10g/SXaEIASarQtyVSQx4masicn+Wrc2
dejuv9g7k+bGjSxa/5WOt4cDYwJYvA04kyI1FDVUbRCyXEoAiXkGfv37oG53u6r8qqL37XB4lESR
ADJv3nvOd+Kh8LQ3lY6AYDE0dBomAIA1ddDlRYNM1UHSFGg2khVMILBuKiv3wOD4CHkGryKdmtKv
GnaZCRPMdJ1xR2BnToQJ1vLbMcvbB81tUfxPzHmilsksOxdhU7FzQzaPTuuSEOiNpnDRBJjPEDkn
JC9ftCmGKL7WsnGU8GsIZqnrM4Q0SCgkiTAbdAnNtfrGpcPZ0/nIjy4p9aL+zBHBeahnYmgVMcRF
rCWIUBC2JcN92Kpsl1ekYctbix5hP2wh0Ohwm+y5rNsHzq/mJB4HvWv0T1o/CU/SJ0ZNhgRNZh14
VB2H8xjzC5A3o49nJEhTWW0x+uTdykh147nwyvGeHKI5Q7yIk2RrxkZSkKktx3UMHTFcaQRC+BCw
e+0pUk6s1ubsZriURDaelcG0Psj96g/oLQuDB0/fA4w3rVyxklQ4IUg3egqdXGUXLZlMY5WVk347
94PotymGunBF1kHBZgxp9oh6MtrDs9Q28YzkczV43fQJR5NLfLhWj88K5TSThEpYXwiDIQ1YZvKW
SWx1K5gkILMvSfCODOw7/AL6GbuCs8lkpdONSed9POXlnWjq/MknexzfVYW8LLCnZGmF+ohugAWE
qN1EeIBcpaEswpiiAtmOztrQjBYSkUGEVdvPKgsSx2qJT+4jeqfwdx+63s3vKq+UO5fkocjonVs/
6eU1TMvxRElsUrZqcv78scr/b0P8xYZoLuirn22IZ2LTlz/LMv7rfviv7/sPpgTjO3uraeH0Wziq
/94PfZIZ6DtY3wh3/rPzWfpvBDYAXSU5C2mN63j/jVDnh+qaytDnFOy6hKguNuBv9z3MRV7U9pFk
NoxK76OfbSULaN9OWSjXuozqt7Hrq7fSQITwl4/l7p8V6F8xwziZv911bRRKYAAMKlM2eBvxzrev
HrvY1RUeqAMJLUgpJX0jmgLQilAGorZrOUm31aJYMY2Ww6LB4dkO+kUDgrVseiSJFYEJcHaauoUS
9EV8Y6JnpRZ4eh1zckNIDYOuVDUJZU0Sd/MpjN2p2+S47uh9YH70Xfqi/JZMIybE8+ryIRVgUAFA
rIppWNeRhfwvsS3xADHfZfbGCdEbBjhNS5/rQ5HAwC88YlHjc8PWzglO2RT5KCLLV8tHgYpOisMg
fffDBMfZCERka3m5T6dSdvUnI5w7YlyIIDOCCSOf+0cvLSm2g+9q5pPehzLeZJ0c0cyrSHM+R7o/
gRGgp9BGp6K1YKIR516Vw11luiieXekN8kLKXORtCzUZ8gGjpgC9hxsFu5HMdG9rNn2rr1HzWs6B
UEO+UtI4c1/GWpXogzFZBpI2OZHNU1RjrISBge138LASrpizG5J1PRMhSImgyuXvGVrN296dCsAz
M1FgjTuxABuy8l5ImG61TW4M44banDmymNct/7ZA0TjMJlV/cb0EGwBFjrVPQc/do8sp1kMY9i91
eo+TPN1ldbYM3zwIW/62rHvMdD0Q0lOdkYRlVyVeIBLanRZ/RYANu1hpkx/e92IaH1XpqBd9QaO4
OKdXFokEeH6U81XLx+TBo00f0BOo1vh6cHrSMzy01LCfmaOpgFZgQTxhnR8I2aYECtM9FMD0IUoT
dd+P7BsgiDEMw8xA1jIQv12QAehPV1ptfY2s3m9+d5b+WEbPez3SPzkoKbKNPlC/4HBskN/Y2Yqk
ivSx6GnMVZoR7eRY+G+C2S/h22Gd3PWkHLzK3nDQRbCDXfzJm6OgTQztSFeZ76Lc0u/rZUI1oFp4
ssz0mmglUfIc0eSKYcxbTHzSk/B4qOzBsrfM3uyDVKTViWqkSW4NX8MQW9s8KmPjAzWZUMzI9rWe
MZrOkL6MaLADVQ6n3o6c21Q16dbqZ6In4aAU+xpG2IFcBHFmJG58Hs2OKa6bM6E3B9TDiaJLaCPE
7eyiuTYEn9xag1PsiQOzcEpP44VAgXmfydK5L8vIuDBzSF6qPEo+c0XT3Th21qkr5nTf5TkDmdlO
30rZinAVEgiPlcaa78Be9DdZy1kQ0btBeV167sOUtFRImmaxrCDZOntTbd1j1BQM8xfvcjrWoRaU
Xhwfc2Z9t53XNTd9bcXP0O1oE1nToJ9L1cdYCVR17VQ3fIpjUR4t3IwbDdnZ54I9/KnuRXtqnQKV
99i5yVGf3RkPdxYRIqmDjCjnEabSrMu1nvjetq56551882oHa2Z6HhP6jNLHz6nKjJFIeKZLxECn
i3RUxSRdGLk8mH6J90ifVqFvEdtod390+QC9TeXpXpcjTlVS8dYGet9dHefu1kTWjUpPVL/TfuhO
Oi5RIqOx2oncHu6TwmGarrxpX9SddQ8teXqBSjW/EezS3/OBhLd4ZHHTuJOBf27I1jwnLcbgMUFy
YCc7TH2ioitYqMcyhnvHZedp0RAS+64q/2Dc2u5mJpwEbIa6tRnFaNOUr9s7lG65uerB+yEw6yO6
0o75PpsRkZjEj3Fy0acCqw+d0FH15yjM7sq+9S9mYcoXhK3pDj1DtWVACBmO3qB+FrHCa4oi/qLh
W76fxh5cjdFMBOsURrrz0/E2rTqytwwe1GPXSXs9M97IwJC04yGGjkg6KfMzIO2L8cXKzx2lu+9a
LDV5mp80AQvOrGzjk5gyx1zprYYHvhLTG5EkI7pvzcP52TVJsocLVP2uSLgfQdkd2UtgQFeF+SVh
KnJICVzcVQSDXY06aR6k27oXkJgEJzBaZMA1qeqxyfFWjY67yOVL7bUsOp0dzRge0hhTaMDT497k
wzD9wcQsmbDUVs4+z53hSOxXvwsbo7/0bQ3gIDWXGISqehqwuN6Ni0WSPs68s+IxumdnKz+LxU/p
tbn7PsFgTAPRNsi/ffnHoMZk6d36QdiWWw473WkaG2ftLrZNrVgcnP5i5vQMha9Tb9L+FZqYQYQi
DiXa57OGcSuyq6dwMYcWi03U+3CMOot5NLfBQjZ+Xz17MhdiYxcy+92S0uOkgfW0W0yo/WJHTRdj
aoRDFVk9vXiaxewnqd2mF8wV/m2CE4oDAP7WzmuKY1Vo7Tlswf8ltnIuQ+pyBuvz7tlDyIsSfjHL
NmgP0W8uHtpSNt4NIXHTV93q0i7wu5jt2l+Mt+nQatcockgzjwuWng+HLjI23Los2qUgehATLwPA
gkZ/bl1iPcxZlmjdQjfArpUsFmCXE9RyTyzOYKwfxCMZJIGPheu9qsVCrMfWK8EABdm1ufPJW5zG
hj5aN0Pr2yyDk3kHUxR7VZiflwtIIIJl7Oa2W/VTHi86TvPceW1ykGZhBXWUk/kgTevRXbzP4+KC
rqrC2Wkf1migyRsQrRxYVIyBqIByMnE4uUceZr8xtMBgbbTlvMa67n8yHLyBedVwdls82c6HPTvD
GXOnPkzbZj/i316c3IiHi9WgWzfeh81bLI7vSjewvojx6LemtwHDWX2NuhiLuDbhFg8X3zhRV+Wq
WbzkeTg1d+WclneKU+EeuYe5HxGarWhVa6vhw5IeMpF5phYwr6PlA1NbdFTvXqZ1n7PF0R6q8gXj
PrCexL+3TEa9vD+9pe5Y3PDmhzE+aZOIuQBuefFhnIelTnrzAlZ9i8s6q4Jmcdmb2O2dgu1tUh7z
CQkvJVtc+SG16RanSXbqPkz7g1e7ydr6MPOPLMIXi+YqiI8alzcizX5Y7P/hQgJgv8u3/UIHIGBp
2mqx4e5NRie3H+4yxpwABRaIEDEgYAYqeAMdUCiYfAptoWugDz04qTRW3NnkpXzwCoBmwC5w9YLy
tW8IctHU8CBqIomH2RoOQp+IeWH0wHMCv5mbw3f/oPCNNratzJ1CeXgmV4FiGqwOMIV24Sr0BAs/
6qpIH22TGtDGI2yvHHQyt6Vq/dOsBNWKdMIDGj1iOSX5bOiGC3awwOvDQ9z19bwmZSY5Jq1PIm7c
G3FHiekX++yDDGH9ixOh2slANUqz9ibsaYOPzPex2kTVPSli1tm26+kCuMVY+yqWq1ZWACly0uUl
hf/LLLxTYourXPAVHRwLkOsG79I+Zso1vqC+N2mrpOmqCgVCTTcD+r9AMSbNxeg1RNa6WpAZpTW/
1hE6SxfGzALVwJIl1ukC2mgqpodFy+ldtzR7pZBnjwuYAzdctkkT+chlsbao7+2V35C4a6UUN1oa
M8+Myd2E9oEyDD3TAgCBNZiu1QIFKRc8SLKAQtKMiRddzjIApJofZQRQJO+8bSRBjCDpv40W6Ij1
wR/xRlAk4B3rrYGZYzUvoJJQgSyZF3hJAcXEXXAm8wI2mWi/7XC6lQg4vJ2/4E/GBYRSLkgUZNrq
VWvcDX2m8EpEm9iXWjgdnQWmEi1YlV4CWJkX1IrWAF2JS0zWU9POK4Dj0FjsDmpK0cpLvrBafJVM
t47Om0sAucRzm3FOoBO0EiX6hZ8fDX88lgoTg4q9NH3pFX+f8xGF9pTGnRcfkqzhWKeNCKJrLPeo
t5DbfLL1nBMptVTOls2c7ecvztn62yEOp3FcFrhjPMeiH/zdEGeO81pMcxkfjBEJ/JzUjBvjNLr1
lK8efv5SP9hWHM4zcCqgH9MN+xFUXsWJILuOl0IeAxACETKTR/J7vv78dT4mJd/MgHgh27V9Gg54
HcT3MyBVTJNdK1ce4CpM28ir7YOgR4ccPW6Zoys01b0f6TEXPXstXcmJepiZZmthtByuw4jf7uNX
+l//6Ff9I1csgY///zDQh6j44+s/Ds0P/q9/fuOf/i/jNy6laUBj94VJyCd36b8GKq6xEGspg/4M
9vx3HKgJ5daAoym4BaChLs6wf9m/bH6c7eikiH70nf6LKFA08989P/jLQNfZdHRsfi+CMb7t6lTY
+evMZwvQMAYEyRQVSMLMNt5Iz882sem8DFnfn2G3x7Svy5dUOtpBH6iHibdTYFWiZSRtZ/d+n+V3
aac/IYhEcVymFUBpGx8m/RJA8QZyDZs1nthr1kP0LRcs80gORgPs9lC/Eop3FkN6JvJuRzEbrtva
4RBK7z9I+w77QR2/48iMLxlT51XllvDacyaZuuaRWueYDBz0+VT4+p0wwMj49fBajDQuHFVvmDsv
nfL4vaEVsM4sOW3cwru41riDHl6uSpm/+4r6zegfwhEFiB13W9tU526a74j9PemSr6oTLRij+HUq
IVQU1CROq45Egb4VrnippmZbpDgkcNJZz5g19nHtiWDQ6YgXsFUA43DMbq0X1aevLrj2rS6HB71W
5+UTaDNkvLZK35MyB+gm22RrpZytrAwrdidRtFGtXKU1PHj5KFZg/+WhTv23IcTyakT2HurKCWdT
cZhTIi20oeGDwZGOff9oRp25GtUI4Wt6GEr7JbLUUY7pa10lr8XsXNzIqkUg7GZj84ZIeXwv2unO
pum+nax2W/mg3jRbHWe7Y9Mknx4rMf09s+CDwiUFjAwud8CgLtrg9mhXnbZE6ZTxtPlQ05BR99oZ
5CHpE2F87aIWWV6rtPkCKru7odHvWnPYEZ14MjxEuOikT6VbaEgzoncr5cscIz4r9PwmF2cPXBz9
Gm4KdtfpaQ5b1GmtSNexb2lr1fBCfQy4KfLt+abmOFhM81NtVyEapfEKEXA9TvmwyiMoFWEBvron
6ov40DevmIl1kxDFozq+qMp9QRX3O1OgW38gKkBAFp/Mdk9IZr2vxv46c56L47LlRrX2MuMaabqX
rhgXtkFH7xKXULQZBq4nIUTW0Xe5E8a5bYOK5BmYQvpTLo033xraIBth1bQyPRpuf63q7mqP6XtG
9DeVRdGuu2y8WiGFj4o55aUmsUiz0KKVYcTx6uNzN3JxAaP5UlR5grrWuZSO7W7b5ft4n0E00vkb
LPFCd2zaC0IYEaeMl9LUyPkLNR+mVjQh8Qr7e0tw26UjiYJTZVNV+Jg2KnfqObU5/aHJhHcYe027
VdGUbipCjW5zaIacQNIeZEHV4A1JrbfWaL5MfS1uDA8uH3dNEVf2ulZRmaz9DGcNzdjhNcRsrQWy
NNMlTLfKnwive8pGTXSc+sGooHwj0DIKL3aukO6iwlJjuhkjMTFQjddlO9Ub3EAR0QdQOZMgHmtJ
wDb2c+FWl1SL7nI6z5tBs58KzZCrpnOcTd85r2M+1W85AaE8lUm0oTcZeO6UBOXsi20WZ93aJIj9
zmidFhUjt/+cmG+FUQB+rDKQcr2OlcQ0tpbLQIrfgjTPmduwCg0iudF23Nq62+1GRO/BpNwXVxMX
XIcDoKf6XRvqky3Ur7rzP6zivukuySY8+kCYP2iqf+FKU5jYkANVsbd7ho0WXREclOMldqrzHBri
FwXf9zUXlmQTZDbtZpuxiPc98BRPfJcLlK4oPfpinRtQL4ijCYTFgv6XzfRvpg7fl5a8EqnvHso8
HSct2Xzf7k6DiycrCcuCQBL16i9gimU5TowBvlkTNMWBf9K3P3/N733DH6/pmYgVPAC9/P3b15RW
7kcec098w060gV9wBZtICKBl7weNs8byftOUMMeGBfDnL219L0n6eG2fkCJGPOgavodolwq8Isz1
fI+AjdzbIvPAPSC6Zbk4oRFQmBPGt6EZ+60a+v6YcLRc136+NBbocQlcVvl86iQkidkihsWH8Zl0
pKt6w2kQLN+eMMuV4vBTFck5F/U2c/qHMZNAnKJsTePv0oFcoftR+DuHQ/ZnSR7dyvZYHn7+Tv/m
FmKQhfwZDQejpO/N2WYaYwQx7XwfmeSmFvqd7s932VxXv/hEnb/7RG0DNRWzNyJ4v2ego+L1Rv4n
96qfEudIfMhkxPYGNItFFrefIK5S51YaeKH66Y5xfkb+KXuoPcv3qmddXkqVZGFjGuZ4QpUYMsvp
rkB4Llbd7yKP5d4pEalKGYkdAvfxRTomrglpIsCOp/jU4fl9yNX4NNZs+5yI7WOLe3ADtGbJHIrf
w5i+V65SruLoFTuSed/DYn7ygLLObcPmjQwlmpx9FOUEAWRzCIFqPCl6Ryuzm++Y3hD1avKzfU/7
UjtqgodCjfXzC7bc9X89kyx3pu1iqMd+7f4Yl4disqhszcr388Bkg3JiZGUDvEam8mDtf/5a3x+0
ltdyUBlxtdAQQsr/9gmszYl4Q3oye0f1D3YTH7PiVwvmx5P03fuBoG4SWMdffTBy375GHFV0UnU9
3xd+X26beDRXhJpygDTfsMZMIEjCozLJcdfMyxD60cbN06M2hs80j3+H6gHKM2Nq5KWJtSdUhE3W
Z3Uqp+xsGPJ9FoO1cYkN3tPemRcRABgsfW5u0lhseq989Fr+s2hwXtLnn1YkAJGAa1jA9vyq3Jo1
wiLLr8xdN5Ywocz4nYhbFRAIfu5HdVSOnOCLJBSoBgG2jgGuK48gTertQ5GbdJGs+Vcpl3/zxHIt
/I9wDSjw349/oZS0oG5g5xkpB4Wec/AqbjsqeE3xnsGWBDHl1jqdvAt6HTprTa0Hs5Hdtgn3cqiY
wZA8tB3CeUASYhTQavUXOFvW2qPbFaheXMLOFStEi5fIN5O1U7MSEcldrN1ketLN4Q07fsAY+tNo
UR36FW+4xqKOhPtpohADoBCVO5o9O78cHqQjuoAkDRHYJQsfynxYzhpAHrxs/s505ief0eQvmO5/
85CwZyx/GEA+zO8lkIMEYtYOPVZPL19T4oyBO/Dr2DrgnVL+4oqQsPDjMwnC3WJZM7Cm/hBhWdnW
ZC3WpH1tNjk8hYashTA5huxUvsH1QXGugpkBJDxZlimEVy+xTM9CUQB2pG0GRe6XMHv7auMLdD2w
YyF4Tt7vjTJutN67Tf2sWUU+1f6YF9baKrFWJjPur+mUQS0LlttMWuqV8QxV6mCukpnOcgdXeSzM
FeXqpse7t225pB/Hy9kerXXs8IXQHo9Ca/mOkjCjMuzaIJ3b6DB6xDAth6AQle16aFVxzLvhGrcc
JD0lERtUHPWcebjWaIgRvCK7s/or8eF3lRYfP7DYhtut41xN6+UfNCyd0AmWG7Ls+q1h1w04anVu
RgdY1HAF3McBwlEaz1OprdKKakkPk/NY4Zx0S7661pyXKnF4xNqwumHG91YzXhu6JXwojc8x2r4F
YsiWkdovSdQ/MLQV4FedfZ9nsHiT45yhfKjJ5Q7aNj1yKN5lITtLjG0RocP8JIb2nBrOl6gZ8qMy
nAty+jU98mm1HIwYroAvqerixIDkkrb2i1nHv9qPxd883tQ6SDxIC+WO+t5nSNY8kwrbyfaoAd7y
pn9odPa9nmNW6PBYL/XXx1G7QAy4bX0qvY9nPo/a7TSArawSvq0Cc6zaPNn4ONs9hrMuHXVJqpXp
5RsyoaY9+RzgS0mjq2BLxZsqT+Ub4Gz/XNY+OnXJvkiomH+Ts5Yj07cupsYak7TTExylCLCThXJL
j7vVKFusAh6VteRgyH4YWQUXRFJmu0l3hVMcBbXZPtQeR1K/S8991z3YYEt30FjGDTw/Gs3DfIKz
dk3CjFE0aXKBU0xvhM3i1ijbB5fTAeJQcenZRDhkdldLoFqnmm/dP/fX/3XYftVhW7IR/1Ie/CBZ
vnwd/rF/zUp62vXXbzRa//zOP1ts+m8EovynVfZne838zUE1hYOWNhfly9J5y4u6jf7v/0GvbOkC
ZSLzYVKO6KX9p8Fm/iZ8smw4fFCHL2vsfyPb+qGcoYixqECXwB/Pg7X0balha2JEW4NXRuUOmpaZ
Mp0GztNfPpS/OSn98PwuL8IJEJUW7/OHjOG26LWS9FlE/4qIvdFt5nXk9u4K+cGvcih+OCDxUjYf
i8vxz9Wd75OFiyzEWCiteQ+7k10/XVBvphUGHJAznIJxu8+MmpDG2bEx3CEz+vk7/eHj9BDb0ax0
2RC5aN9HUpkpo4VBmIwh8+FqZu4zjP/1z1/ix32cl3CWI7XOdWO+8O0Vq2tt6vTQqPaOMVxHx3pq
fBABHWlSAZZR7tJ/N4z/5soRAPzDPo5nExO+LaiwIUUt+/xfTu+WrBjE+k2zR++DH0hl1HPoU+B6
O6SrpL39aIdDhYVRwk8MHKtIMmJc/bkOMlVn9bopwjhwTQmMNgL4dOgG18dEXACHWwEvkEWAMDeh
Yq2McggyPJc1YX7IWDPrdzMZdrJvWqb9Hoq4utXNp6mhLECU1WVrhSPnElWdD+eCFbPTp/FpSmB3
xEIOqG1Nt45AaPnZVTACfcb/WqCDR7kTSkAITosDTziAOXq7RvAtGU91cEQCmflQ9rC1YCKFVd13
83xgmnvuEq3fWln2brvpQxHbb2L27tuaGdtge9mx1McvEokLL5EIbO38TFAP81qVc7VTFbDSOjfW
TpMMX+vIr9gJottyEhrNwYIoXBMv/ABt9DKO1qKMACBoSuvJBXJ0TKKY4hswH2PR/qslNP86Esm5
nowkQZ5XyWsrgGV3nlrpfi/h7C19rSEkyipOw02ij9E5bzCXRmTZg+waTg46PrUZag0Eshwm6aNV
S7pxG8OVvVYuZ/QIwNfK9AiwLPUk0U95aYQGjvq6Fo927mrPkerrWzwJ/BxvHM1rYaj+lNZxt6c3
g/ewrskrJRc+OoVZhYgcpgheaQBHjDG5RbIquasKGq7JkBubfoKy28ep/mQX1DYo28eVFsVm97mL
9Yr+mA62VZtdeeVwNG/yeMkDQCuwjiqxyOtiwz/MWh3e4F6v78s5r++yurkJ/cn6zJC9vdqdpfaL
Cv9sjJbYZzn3AlyeeNu1+bjLM+tzhNtzoo3ZSSJOrHHP2c6/14VMdlAO6vMsteKuS6e12XTTGWVd
Wa18QCnbeoDQgCFCygBFF0iP0cFh7dvdCUEAptc5Enex22zDEP8ZWhjXQIoj0fKQwsW3PY+9PAI+
rdaktt6Xk3pMsLoiOkm0nZ2BPWDaCvI06gkB7+Rwr4WDsTOtWN8bepnup6y1D07ZYL0o9CXFUzrF
bUa2iMkdbQov0EKp31thNb1C6CWAhIfmppeJdmqlMHfWSGUjUs2hLM5gjqDOcNeVXvFq+CMKnhdE
b8CByUIPy4iYas0D6EsZRQtPErcXhsNpTBJ8KUU3rARKUeiZOqgLlWmBaeM2scNuXAHS8ANLpMMR
hRb5gb7lbcNE+BgWi2SVKQzewo1eIfk/+8ZMc75t9Yd4nPS92VtfXK6r5qXykyp0OzBcPmkrno+t
XSBkCVWNn1mjYY6Zdl15xuLsS84awOr7pAqhkFfzHzEQHC+IdDwhXij7A1ES3Qa8zP04dVuOjnKf
aKi9SI5ZkNL8WAno55F8UjdjeRq0dUmJS3uksF5hl4K2iUqxacZtVUrr6jilvzTeEHfmbt/cdVpp
vbJue4c4G6wdYAo0AB8a+6hbkr3tcr6EqWoR3YWw1wrDS29YkGamxD5jctP5XBcD+cN0TILBC4tV
WobmutGjG+nlu4gNIMh6nTOTXPzkaWbkF6JUDmlvPqoMqZ8ZGvlKooqwa08jakML16HSvLMM1ddw
hN8+V82GEBz7tdMhNCSd1d+WdpP5gUMCyZolQRAIk4w3vsD8LjKz3lsejolimIcX5lZWQDXEK+so
aegOCB6gYJHAvvvknT4bQ6VfQ3e270kpFugbfAOPRpY0QQEQdQfzGcAyshOeEzH+AfeZfj2VNh8z
0Q6IYp6cyKG96SOaWlV1isHDhiaVMPXepB5x893swuq1cPDQaZrJL2o8bY8knblb5b65hiXboPe5
7lXoJAcv8dxr2ozGjkzbbFOboKfcfor3pgJKZgg/Io2nKE7F2BHX0DrOrYgNtY80KWE14buIp106
RXz8fTQ+Gqxc8DZQXvIhpVcLDtGKUSiaQK1V5ie7EhsxZNlzi2wbmqqILgKc0nMDMbdQ8cCQsqzr
S2eU7VZlCXce3B5MXMCwU8FNxub5noPWAS9TAyKRYXNgfxwOfWKxZlTIvsCpG9lkgthKm+6fdcX/
ivxfFPmWoLz5S1X0Q5H//LVp//EUEy2ex98aE//5nX8W+S5IVGY5TMxwAHJM5Yf+q9D3KNkdnlcb
DYjxr3H5n4U+RwM85LrrMRq2PCyq/y70Lfe3JRAeHqmAxGL6wv9vCn0sut9XciB6yNp0aN8b0LW+
n8PIySZRO5ERkzK3O0H+cOgym2VzsiY2UiSRBeb4zjIeGkMLpkyymcRjvMZfNexVVGvJBjqgu61b
v/7ke3wNQDX/KfbadIfqdlmTO395kqiZOpG1ik5s5ByYL7v1tku6cF45mj0Iym4ndQLklWLd+5OC
hZyN+yq0j7mnOrDQk6ypwTz5aOSNH2I+r8OVL5IXfxiejCalNWRDEn2c8TDBrUmnbdxr+hqMXncv
h8IgQyCPI5pCzUA4hJb2CJ/C6sGZqhg+/myUACKI2SsL7T4Oy6QBLYIdvbaq4jwPUx6MjaU/Y3vr
gRTq05Ul2tpOdRPdmX7DMM6fl3ee8pyCrhMx9rKEsBjXoekaDVP2SUaOszUt2BRJw/92qV5OvhE/
FoThLdbE/uzZ05YkD0SwlV6sJaWwRDxot58UXKu7sDAoUGmC4GsQtW3AUup4x6mnzWu/C4l0cHt7
Y5Y95o+pStf8zgp+SWuv7IK6ytRcNwhH67kjqHZvxNGNa0/mzugiyI9z3zI9JNVr7bIfMYFHi0+T
Y7ZvWq1e+j25wCko5jYIs3ZP0lj7aDdTwvAxno2N1pv1ihEXYv26yR2uh9PdQEUAo6F/jkkWX3e8
l40K26cwJ8KANJnHSU0I3bAVfKFMmo6AX9wgm/C6MglYJHnOGk2cfCDnwMrXvVukZy/JmI/mEU0Y
P80iNwANJYhGb8SdstjKNE6On8M6RKHNnAgwksBgOpdfW4hdEw3CWaCVjuXdPCTNcfRxPiSCbBTP
GG9SmotBaghs3bkW3tPRfpH4LFYODrkDrLdQnoZWT/v7kVj06rVGTvtFH6ruPU56415kJRkEsrI+
KaCga0qm7sZpEHCv2j7jIxvKrD6TMfVlGNFz4prQNuagf7Xz7AuN1qKhCMor1nKb4D08/bcT6cvN
Gu6XR0JC1F1nDT9J0ofpRlC2LM6lrsv2Osy/ZBsS9Z6uUiTbXyKI9TpkRkLkNo1WNWOgktqgBAKA
5rgtshgaZPo9QZrM+/VIvykregyr0ZiwsZTm3eAYn+fG/6zXHZRwy9/Urp6Ve1/EVDG2G1X1jsGd
udOpHp9JarjKsPyqm4D/iE+BPVrTSdg7aU8HNkrtEtsk6cdJJEyGWKwd/AQZuFYTXVBCnugFDAdw
Rhm7v7DJGOlkM5jnxm9mufNCZuKrri4/Z7FWdg812yG/EgmDWhfewccsAnio5XnqrZ79V4zbTvd3
k21FB6Xmvro3Z9PLAAkYOEUxWSZAgNDLE9xbUk+MeuGgp7TCjbtAAomoNjZV2Q7M3zVtbZTCe+bY
NznwZE+57mp72TbRDu215GBhaltnARKSmTlsczsBGDSm6oXTNozXpBpOnIu2Nt5h+voL5NBbeIdE
kTj3UZGpTbnQEMUA/cLrFcULh51jslATi64rdz0ni1VvZPI89GCVVl0yz9dqQS46aFnPI8aAJ5ho
UZcynlNynQF2TGnIFsSFaFa2TcoTdiRYrcS1FAQagAcC+ugs+MfU0YsziRdVTJmpYSqo8LLqa+eD
G6lE77FS1dW95dfWlZ49pbLAyRM5tEtXUzlDXf5gUfoLlnJO8FLbo8th0TZAEtb9F8rDBIXBQrR0
XL/emo6AVjX3l3SW0zsiGYAovetuwfcBWAAHh9AAWKZNMb3U974KIsLC1vApu0NI0M0KXgmn9bT7
skxXtkOb9ntoaihi07Cg49mWC6jz/7F3ZktyG9my/SLIMA+vmUBONU+sKr7AyCKJeQwEAoivPwvV
UrfU99wj6/d+kclEJSsrByD2dvflMJ2nD/sT3wlwXFwzLEWHObOeMhyfJ2fjfRbm5oFqw/JYB0CJ
cz2eRB+aO4sbbMKoRwvCRg61x9Y8g48B4RwxffnKXRKqqc0rfwKmxx07PAB7tq8lockrehWKZLHr
x9TXHBpFhle9jxgj0s3tVayy2wHZcgEIcu3FnVXHkWMP5wF1A1GN0FWME/9+ZDdDZa297r2Nnppv
HNXCXMJ9VbPRx3UUxR5h5cu6kVeVHK6WphkSU1Ny6XXjgqTaq6SEr0xpF/xovXFcRx19Z3PcnDNv
/DHQj5nISn1vGlcmprXCgZXcbqwRMuYospMEqoawFN7OxMcmzqK3TkMDUyhn7wFDFTU9hrjN1vJR
bvxZlZf3OHLCC3YmvNBmfZsFn83cFX7opcg8kwIi4R88LUZcYVGGkXaW037cyLeg79adkryuj4Ok
BPqiy2kFkyvMrEts7py0vhQL3uXJdFaASy6GK5NpINRmkqdRr5/Ad0fGmxL2shKXC0KNIoPKbM60
mmGlq6y6dpNgsqz1BLjmyQsouI71rDnKiKp2b+fKgobQAYDZEYSmKMuk2ern2jGU70icD3dkAIw8
7stRvzq9XF4bejkvARG4Kzm04jisBoDuuQlwsllrNV9Ykygu/TXZS2a4iXnbBNnQcMUMK8P/tpbY
uXBGlhdKqaSz8+ygeQy1RBY2G/irjpewsFS4s8Lsx2BL4wgaybsXazgcSPFj0xknll8NIYZdNcDQ
2qHmL4fczLIvsBB65EXanse+QpmIACzj3NMubbc4vSB7SgRW7m6Ilp3bO1cjzvo8meyxpzLOXmHn
bpVw5sETW1QhBHpc7kUg6Y2u6vyyCuJgsQ7FLM+kGuVVnVfG2RgGn4NfSonkDnUvurM8Ilg42vVQ
HCqPKqMuZLkX5470Y3JD5rvwSlxOS2mWD2E+Do9lVDK9Rj4RMcBd3pFcxHIYGdBO+OPJwg3VAgfK
BC0MpGZcp9cayTJO2WJeN6RxsFTy5kMnK9yDL7yjM5HNpfJlkszuLcPnUNEaJzpnPmXUfxPPKUSW
OIsBxGL1yw3KGAz1vsHqenYL13xlI0RlWW+m+T6TTghsbHXbmY/LZO4L1LI3Lt46YWXl49C0vrtB
RTdr4JlQazlvDbu6Yq+IZ7PCMTdJwiOjJL01oZGDTfRzTGYDZEVwXzkNlF5+03uqP0Sqma4V/T1n
Pw/pPW1xiD9QvyoB5HotDV/4W5KIN+1CUnCgE6N11x9LGuZfI87cL/AQgqvUBZFIG9scXAuoIn6c
ZlYW3WATJAy0Bm9TA8hqTauM7KTnAiLQRDQXzzzjUdCgLZBU3x3IagpQYz+eCifgOlDb0U3N3P4T
QBPxiKGwvnE9LS6FMqwEW53/Ns8YFRnFmyA9GEORf6IIqWWamvGwtpPzKK3OSTyfHtoOQF8C5iw6
UhEnE2+Z5yvwlep2FRhI6d4dd+zBl33pVWBIgSh8g5i9DNgzO5c0TDfRX2j1GOVQgPcNnedsRKYB
LT73D/ZsBj+Afi3XvSj0bYif76lXFlQ/ruclNlBLPEetWb9lFtGTmKqgCDtlRuFJUJsX+LPDIeDz
SmAx81lFTIqQEREyW5v8AO0Z7JGoWlhbamNHpJjE81JJqxb5TC7NTXtQfu8dy9oghmtyFu+jWj13
Y+0cDHNMpn4oaXUlMVMCUL4tg8C+4iIxIzTnfFmCeVsYcOVzqrHY58bQ00fIUnh1rQYqxbwOu444
AicGt7zqC84odWMOHKCm+iOH2Ad5sc5VUgzS/zVPnfoBpSIP930dLTezbS90yI5ud/gcav87///N
/G8zr/+tyHf5OYqf618Vvs+H/TH8O7/hqaBPlOYHhzLJgOH7D5XPQ+VjoRnYCFJ/YTFglScVwl3M
3uScgDKQf83+4W8bksE0+RNsjJDL/pPZH2Xw32Z/lHOAl5tnECEdW+S/iUb2MLLilt54imaAYnsQ
NFNCOGSsrnJSVFeLSRDrKfPo1erMIpfnuWinh7wH2X2sQC5TWQdFm4PVVuoWpNzoUglEAGmbYqUs
dQsc9sI8bkHGXRYNrBgXQ91S90BiisEjfV5sBkbWft+oEoV8WzfPM/u5JywU+kGM0XO3FaHVLYIg
g0INwNmzuD2M6Cc3Um0IBBZ5LCZ8YopTP5lvUWVBCqUZyn5sW8rIxEgpE45EYslbhgjgkJGwCVlu
m4WeLMAn1mOqmcgaYUS/hD3Sc9R3DkI5oxsJt7mkeImcLZSF2ZoSrShjw+Zb7j5fqEqTBh+D/Dvv
PwZ2Q/BoDny0W5GKC49IghGTWyPPuirdfeCQ4d0Jj0MMPVk91l2/iZrodS71kO3bOjTfPsuy/Z4K
KLZG5NVN6IiTEjQmGZKfbgGF2LUlaT9RTNREFR0VdjlrF7YmRQGFUAkEzrEM0cAouzfepaSRhRxn
s/VxONb1GIrIPDLp1V/Wqg7AmmXSehvp24aOvhBVZWucL3dhXxu/dK6i/eIMOMryJf9hsCzFoR2G
x8/nJ7ZnxSd7ZPrjnzSaTbwZn3zRwCeYf2CMbI9S4n+GwQOsleNVIihASFrNnLALJnq8stCS+ETl
BO312rfTPD+lNRV8J1/gT2daCMAoO3qTG8pUGxifsdRptzvPo8uWfCpnVqX0WL3Bagz9g9WvFBny
UdmQkg2fhbCnpE0KEfPTMZ0L4RWJi53kqYNB+2U0nPop78f1behzcR1CuXouNaNQjovFj5nNnEvr
yeyKYET+WkLb30Es8ahU5s3Gx1b5u2pCvZs7fsmSO0dCJ61oj54ZQTLwhm2kjLiTLWWv3+keXY9g
kaMjhCrnl/IdhblnbJpuZzl6gfFll0V1iEpzym+ruuPvwv/RH/zOt3EeuQ4xQIrsRzr84BBW4pEy
4RUetqow7VRg5CczvWn8plj2RO7Co7U5XsY6d2i5CatjE9LRBiYpj2iWnYomPMI2Ek9T575BSZbX
jWe+0lG3AuueB8XdS2qD2sqqvmkyqMx7QeDrAOU3ZROAGZfxk4ghdTc2KNFwvNO67u4FbqwHYTjM
a/TJ0vPnWheZtTDH7YHG2sB3TzrwJ877rr6Q367gNpHo3qvac14Wy0ckZgO0MEYB41SLYsgUFV8M
m5bXPSwleqyneaGpYdogfWmpCdoI4zj0jriRpHfvlhA6eGtwjJ68zE7AaBM7NwPYyawN67TchUaE
RBANhYzVYgZvszaKmxTr48c6luXPdurO48pbr/sNpkIuilO01eUl7CjHh8XOY75pvI5oIeUIAAwU
5PA0RCZ0czVbeSLz2Skof2/1C4l4M9HlkN/Slj5eNEeMLwT916M9BNTzQBfoOL5z+gRcsrJ73LH3
A9mdtwBEZUv2VHGhsHayVmY8+/56pTCUP1CiKF4jfn/njO9zKc/swAIR+zoDDUuUGv2b3h04byhx
zA5ULe7MQbIyyoPO2gdtP+5HWmuffZA0GpUd7ooNWvkKwxsGXNJKmJVK2+e45fc0AETzQndG1tIA
25C64YCEh8s+d2iBt2wfjWdyqFuVng23NlILrZr4TSdIpaEe7ylCrS6fpYO4IfWD7c9clQR+7vfP
KwtO1vQXp0Ns6VQdxralqfv8/Bb1PhetRXONoiEijH3D5LI62x0sB8A6+I07vz1CIRvPrHNsl6+D
sh8tD2m6I22+xKSweSbktKiDMRXVfzl9z+0td/v1VozkFOlR1L93K8Jn9f7hcPzvcelvj0v+5nn+
p4nk/5FLbjcH0/+CcbQRWnjg7wcmMI4egEYAibzNxKotjDy/H5gsE4yjS2kyDnw4p3+xRUW/EQ3b
5BDfBK6IavLPE9NGeHQsQoI8LNwK6az/5MTkBn81Em0Wni0xjEcE3FaISR9d5s++F0S+XvhLYF9r
03Nh4TFlrhO+EBuG8SpuKDWKkr7BUrubQ9hDOwz++t0gLoRrorBOYu6N65TNAEMVVcgZy2o0ci1u
uoxcwejISzioIAaOxdjJOvqJ7QPGmjZDmC9CCtfcxn/CjL28UI80kSfs8ANY/UCbjiiHvS+od+Dv
sw72MBQgJ+bUOZYDoDueN30zXoY5ML/xnWa8cCHmyzGkD4r9x4IPF8sZTVFNb50Gwd2OkGe1D2r/
YrkoxZKNVJ4NPyT2oliWXB+aeaQoxmnXGyg5GUMwQaLZ/MgNLiBDLajoLUvyZ6bWR2+ji7SZfTRa
r30FRFwmot9uW2xtYOTc0anuJkZWAQSyJ4fCuYapxmM4dRqfn99sVfcMofHUhtFpFbJ4DCgbxv5I
H0lf2ZyFuhWEet8z/E/l3bhGJr6YSicNgywXKNJ3rtk7SW56Tsx6wANnJRdAX7W4VEVwk1sISpbT
PEZ0rqEOBceokafe3XwaoE52K1YcbsKZGdupeTSKEn03X7+ABOKyOW2/BDSDeJJwb+tVZvuR5Qiy
tPzeCExIy4ILCO7TVc/1c+/YS9LpAGID93dPD21M4NzYFehzu8HzT1EaXSZMG/uwsjH26NT4sjrU
Zzum9BLR9dDX5bIcAHJHuEGa9Uw3e/kccMo4Cyoc6CsHkoOyjdokjDUWi+mCniKt4YXZcZE+nBzH
d5PIKr/2S+9e0TNyXtu0oUrBGWIpRrVz6uzIIidAXKbGqQZZWJXDcyf8L+Gir0tbBbtspq7baAsz
sUydH4O++aa98isYZfdYsr3dK/w7CVYA4zLY0U8XaksMT9KL+UxswjtrcD4S4Zg9RF2JhSLjBmRv
bV1Vxp4ttJDwRM2idvLOg11aX1dXWywfqKIyqu96ZUHL5NsnZVGuJ6/Fzax1i6mFNca+aCnLDrLe
PeXEPxMX/tPerPlv7ADfDDFhEAuWNPbRQ9gXrcMRo4WbdKSNDz7n/UPqlC948LOb1sybgxN+zyJh
XpYsGPZe7xvPNdO62HNydeOgLorHZqbypxUcYEoShse+iMZns6XohPR09ajZBcdC6BvOtPUhLCuV
cNL1KWfjfggxNkjaBWTGZBvmfUGpOTveqkkgkeV7aM52nE8OBpSg9M+WjeCJY4V9tZ2BcZrtK2GY
uMXtvH9hk8+rGKZ08LolrVFZpGIPZtsOXijVjF5pvqypC7vMsNicz0DwJzQ3TMba2o26ap8qw1nB
kUjzYk1CeSzqfLIK1H/kCVoApXtTQ84BfZPDC8wSnqq8DjDa8T8aOJ8LEE2Vf0vm9nuBwWFftmF9
ngfgljKc6benYuym18I7BXlN6tExfy0pK6RFddROzcDzSn96MuExgLrxL6EOAASO3qOflkOiTAcq
fcSCSKvap3dumTCQRR9yqh+LdblPLUmIu916yAuL/j3jZ+Pq9UCtz9U4BdeF4v8XQXtUPmvo1m3b
A8x8GkkAmsVriuUkDxz6/tzi29BlCjFWPwmsTadgZodWk1nCbsMqm5DRmtjMErR4YEMzM3+8We3g
IBv7W0TDCn0WHDzmRnhPqZ1ne0LfiaSzjhh9eVzc4ecsarUL9JreemOJAai2rAuV59WhrG300bUX
1HBVfYybJDzlSIFA9r/6vrguM7c8C2/5EioRoJ+weMX77p8lDRjPUTS/1jBy4r4Pfvq5Ag+fYgtU
Wf1sW/IqcKfxtg/tS9HhPPQ6pNQaZzg4mfs6T6GAOWyQ4LH8Gkdp4jkkZ+dp2R1dV9ITw/osGdBf
rlfa347uMoZYOdPoVLOcFg5byTWMnomqnzrKMK60j3mFUp/hMIUsvZaQn9huIhbTy72o/OvS4ia0
GCnipML/AxurPrA2ZQffeE89LqXYZ/V4tQ7inI0Dp+LZIWw7SXuHPciMEX/997pa3lQq5SlYgx+d
tNGWsjrHhDURO2gX40D3h7cPmjm6Qze6JwZPHRogAZ64uumBw+4njxmmSR/p8yZpi9dvGQomfqyS
Zys3XmXUl3Dylh9O0ePFqqWkSkyPXGsKYvlp6p+4/haXfCYTkRlc5VRITYEcQ4rTGe6ORLG8QxYo
52DXPQqr21vHLChf1Vx4mBHD53USV6Iaxl1vZL8cow8udVuzVA3oQHN73zp4gJwSy23MS4jsxBKf
O7nmqnoY/ZGASbhqp/1e+0CKX9yCKmo4rqExRCCJAWsCCFrA1HXqy0RXasBXEStkWe8GPn1NeEfw
PYLgE+R2tX3JsOV6wjkNdgdZZx/0jOEvjlQUVbPtxt4Ac9cTHVdvglz6k+LbbkRf6iwDH7rvP1i/
ozNv5N/yHxzg9ncsMOMGdol/pJX+e7z+u+O1a29I8f//8foOHtZf9pD/eMDvx+rQ/M3D3GNyOg68
TwbHP4/VoftbaGH9IToA6WOzIf0rbWD9FgUw0DlABxBroi2oytF0CyI44W8O2WZ8Qw5kR/xD/xEk
1vp3D1JA+ox1JylwHBekzRkI/nyqTpWRgUX1vPO8sKKP7VJXMDDpDvG2AnRn9Zh7WfpB5gSYaikq
PUImzXduzMuL14b9u+uX4tV06G/KFgbsP72S/4vbfQs7/Dl3ybOzmS7o+sPA5ZO9/Ouzi9hxpHj8
3HM5u3Q65e5yP5h5e91+AlmHol6J79EMK/qOReX//bOpdvi3nw61iQ2tu01FhCQ+/WN/eW3oqet9
WQznNEvfmoEmD6lkEd1UEaNwjBwRXONkQxJyNnWIaqXixaLz5+uiW/0j+JSRkPCdS1ZnIql8WR+n
T8FpHDr/IfiUoYBKeud006as3ukPnJXdnR6JIJZLw3XanUVzl+MQ6knpcpkww2FA0GWFHUONAJcd
SsQMmOs+Z+rSt98xpGKGFWW+0yLsrqh91MkIy/yRBUeLc2kT2oxpE92yIYryPdzvco+yZ74a2FgT
Oi6e5aI3fr0euAcHft/eoiTD/843aW/cVL7VaFJI3trZAY9HBNSBmglokTzf9zkc1maTC9tP5dDY
RERPlRz6NmExVCm74MJkuYIOvGmPvAH+ifXRelA5YIclYl9ouLba2pXs4TGSRvlgiqKwYow+5nvd
mVgs2sAc4zBfokRRu1YcZofi2h0cNv8RxS5jk/WpmWo3n54t2eVJOwVKnjfcbMaWAhL7UkiOeZaj
CGgXZM4PjVXRiNFCRuc44fm9xbY60w6loKPJwSQryBFWOf4LdGrk3r403BPnQBucIdi5nfK8t4Ao
Pj2JfntfteNyENlgg473cm4tn5IyJSZwXMpyxLDHqmylY+eIXwYVOrdJ6JvFAXzGHPNNjc40azeP
2sZoQ9cTWrbeVO0QW9S3PJj6k94076juUb+LseNEaU+Z3gUlKuWeW/7CQX7TzllAW1epEYLtC630
i1Pa8hSqnJsQFbL5T1eZ8531qcQXbdD8RKeoup2tCYgTjmhpX4TyW+zWTzEfmwrCPt+9pzwzSueW
skjpAWJPG189IelT/rcbgrajNhxve7Yvl5TkRthP1Y+2zGn43tHueLRNtLOqmqnHgdfSsFnq2342
b8QQjcU34gY1xqeWJqk7IYhUa6mdc2065fzmY3WIrlePajdtOAAT00guI9+KwZg+2vSz4i2aBgw0
7FaLZJJjaySfbejzarUrHemYFBI5G7p4og1gXU8sXMFRG2mLc7prxyaLqUvJaMrBJseGdBuYd6yd
adbKVEWL2AAzi9hHez3mqujx5DvdN9EFztkCUOcBMttKyStRPSKJbhdDgMO7CuLYHV0MAJBkRwmp
YUf8tHH73dYcuWVMNe1gAzIPZ2FsSK9T4Zfubixmnj2Dj6aUCSmi6FT/Drete1czpkfqCed+jnPF
Fzlhy7oYO2ku8rtZcpK8KUlWQxJOFZjr3u67b6Og9DruDWqrPy/lbAF4nXBn2gl5202BMKb5dils
/aUWjgH9sVKOrgRWITutdcydwFq/eVKOZn8JZ7rL+kuVQZDhcwSCmubxztJqfmuxZBUCDchrv8l1
avjoQBm+6kbt3w7C4hnjRuwMTDVTQVu5MfbHIbTru7XNZ8bSrrCBdFjl8oBTxb5zu44vVsEx/W70
6qHZtxllA3G40lmE8RoZAsd93lxT6xoA/eUZ8Nml/vbcEvybb91hXModB8JUxq0Yg69AQxWaCVHO
aI/DcnM9hT4NQzKnkJZtTKDeO8vobgHG4ClHZuh2aWjCUrZhqVVKdN+FNb2gUPnnOYpKb9v0qwfp
104dG0Ay5mNIhzVpiJCINII6mx/XK9ODxc7+JndmjAuGsVJxz3meBLJcfI6C0vvApwqNZnasnHa0
KqGb3dB78r3LtVuX3VWazzn2Jz2KHWdLmueGsPfI94zWlWPU0zmC5RDQKZCyFOY+o/mVo63Ld6Cz
1xqawN77eCJD1lW2zT592vq6MG2sXP1mvxyJbGFS8Da7wrIZF8RmYfi8j/734Pj3B8eIE8X/cXCs
6m+4D//iYLexlfOgP3ay7m/uJoZz+LE2tE3E6eyfO1mHzauPjxmxzwb8xh/97mDHps6fwN/g4PIn
DpzjkHn1PG6o/JDtcf/RwdHztpzhn85mlomoDtkn4vxqW6AOt7Pbn3KII8sX8GLWcHEnY4kdt2ax
MU/k8abwweMc0J29KDNAHolce0k1+tJ4ySlO+cEUbONsX7gA6BYzYVSkRwPs2/gs8U9fhbTHlvcT
lMyvCCPBu6f99pIzsF5NqrTjyKhocDeLorkQgiKVUUUzC66SpuR+MLr3Nu9prl1p/Ts2K/Of2poX
dW73ByrWx+idGksnPIUmrthxGlbsNWqRgHNsLyCmhz2bb+DkJg7QjnYfZRCzv82Tkb9RwCMaoNpd
lR16webwevLMfKJBF6uIuylzBS7MRtGqq27BJIORORCP0f0tMgu/br5wFUKnWUs3PREhc8YlabrB
JLjZeq4XMifaaYRnu5JBk96GNhUIiiUoryduq7WRatinBPLZAc8zhkkrByD1oei+hqVa5XASwLeS
KSTn2TKxAtuTozZW9Gec3Ls2pIad8ZQtQ73LQw31OoYI7Oo9JlSoVXskMTsPKmR9cOzlD52uq/Cq
/QSz2EOtJl1JZtSds6NdLel4i2C+gf1I9ZllmO4A3lJUQGxzV4q8PecG7WMZvBeWWxygd44woUrQ
oPJg1co7+FG/fgt6nMGqlvUeS3qOUixIdoZNdT3ihzh2QALPXTfJY9XOULuHtiNUP9fbRmDZU4VA
arFpYd75eXaHZt/u57xeYp9K4NidPI6mftadhKYqYGxU80pd3ESTXVqHO23M/V1d+i9V12QPxGnF
vcIk+8AmeX7PEWwhthPxHPt8eeDz0B3WuSu4My7pPTS19RUumWHvlZQcdQI7jZVVBPDUqvRL3i/O
CeKYcQf6ZVt9jfQOzMHoXKd+Wh+N0ig0u0l27l/6IQT4m9b+y+Bb7ZNYcVLumjTPlj3ahbPA2RiD
ZQ+OTp9bdqKENCbRYCRtp7PigH5UdZV9cbBMXEV6K+mzcLk9u5GFCoG3LC3ZbY/1L0u5mAfp+PGW
Xda1bVLZnd6t5Jkp0dDBeVTec0nAUJTSpc/dWYJri+aKjPukrqm5GOV8J7PMvrKWBVyYywF4Klfe
a1mL8YETe/tlFEt7nNOg/67s/NUaKFKe6jC88E43Cdq9u19x/t7otV4eUl/kl5Zl1nOG+P4mHd00
m4Bpf5TdaF4ZuuVWPgxOcFH1Eh3csv9JKjk9WR4SaL5UKKxpUIKcDOUbqP/6deWA9QoUr6AOagir
18Foo1hxNz6BCxmPJqiwJArUdKCI/IqyRjawIQvTEj7cXRu13kUtgogftJyyJzIXGXcWbgA6FTUT
FGNhcd+m5ULIsues2RHA5FMM3yT3wgUD+GSI2DWGNemU7PcqRb/ndZl2AWaxfWaYKClC4d+J2phB
2v7iBoZzR7DjpdDjU9kbwY/F6zDiERE2KSBSmJj2dq/RFMbSvWrMNb02J05ZTNhpHBTZOXJFcEO9
98BXQ4onTbkC4Buz+/AlfUm90t09O0L9fVBwnHeWUWOTbFR/lbHHfMlyEH3+gHKLBjOs5BCj7AYd
UL5v9X4gNDJYxI251xXiDud3lO2iz76xbCx+1oqjspiHa2IHarMaLjGuc+fN5mSP4Tuww92i1HpN
A+yGpvSZ3yYW63zj3Ny8tQaWgyOnK9pSwas/VCUpjX0/WbAU5WIBMCm21uC0MFkpNqpcTnY+LY+d
cgW27Ew5T/OUht8r1Rjg9AtJeWdYA2LESLo+ukYaXndz633DTdVdRT42Bs45Ftc5aVI+mlltSk1t
mOPAVaDMg60QdLWwWAe0j687LKgqthyPzJ8oCAA3nHAhM1GNbFh2d0sfEO4QOi32k7l8gHlpH2kD
Wc+ZkYo9fyl2q5JYIF030XGCL3htTJvlhT6OD7cbvV+d4f4o+sG+tkiiTnASGdrriN0ugFC+5EZ1
o9BTbiIayK5zs+MoWOqP3ITKMJgc4dxleenM8YkmLXQpLOTQ1ZkgCkSQQ8Fq6WgWOnoYrLHDpGnn
DuKNEpD28tu6mrMDq+SUpflovVLHgz6UeeaB7/tHiWbzONhC7XMOis9ZgBHCysf+oko0kHFMvfrG
60h5e6Kdb7rWzE6GWlY6cBp/OrqW1T3wyW3i1ozUfUExz49hQRLBf2bVd9i+wy+ZT36MZ0g8W/Ut
BnBURVb6XnPfpIYHl3IFx9eC9DHZJMUY0otrg8oPSnba7jjJRcauXKZ3Gwh6XIeQE+eg+joJ63s5
9BVGB1tfz6rJJFgsld+7IcCDlrb4eGnIUa3OIn5ZAAYTSS7nqTR9UI6uGpMuY/PhhpTCOwAsn9i8
iluWP9NRRUhwqyjGO6LYjkU1SjQSlbaRQ40xN85KXtE6lO+9Vn0fyWt9HfDJHDD8VD8agIQJ4H3e
1zD8mof1zxEe/9lhLtmbeJfjwePf4HdHu9VDZgSDQeahrN14LiyK0abCuta9UX5EJXXTEy1nRyxd
BiactH4op5rSB/qNDv1UDmfJgSSR0BxOjtuJQ7Bw8jJQco50C85XRQNUln4FpMPJIlNjrjiIlp4I
mAOu92PyVLHnuT+TqLf2cs39k5qdYV94N9pV/al1GyzmfWQfOsv7GMz+QcqQowOyHtMi5XOjSQzR
Md5A4q27PGd/X1SaE0aNW7cyu1sASA+BKY6RGI4anRdxgTZxdgaPIXHcC0VQ2aEd0VGx7tg7v2ht
erbzC7272SF1ofk2hkH5HI0qtS+jk7uW2OGd5gFjz/2KRwZGqYlXvjPavV+vOBylFVdFVWPhpyFl
0n0bu4Rydl4uiRdTd8hFOHDujGmhej4ygufJtYuTLklwR571E6Q81rEVPAYQT4J6Bf5i0us59wNH
PigcEh9Fsw4JMDuc1cI4+cvcPvigrrgZU9Mze5KNXNTL89KMEYCRDMmk0OGlmdaHuvC+umnw8t9Z
qp2Kaf27WYpJ5v+cpe5/tq1YaST5t0QwgaftgX+Ygl1IPTZLdw7fm/E2ZKb5IxG87em59GPy/dy3
b6vmPxLB9m/8Jz9kh//7GPavZXz0G8gfpikrtJwIoKr7n3hcQA78daZyw2CzK0NNtF2EASBAf52p
wEwK3fQmynqwIckw9rP59GoF2SpdIPlCurOcLX81NoSz/CHa2WIcz1zR2GHqgUjnPq9NGL2DmGov
znEfGAQrMgn386PnLnqnNk8bg5EZg61eiCk2YEV2jSGog7JWGnT8GvOD4RA5TlBMAeVxj98at8tc
H7c7Ige+daRTEYcdGoXJt0Prl9Q2MOC5dZAn46ctj7l3eMqqzaxnfhr3rE8P36edr/q09nWfNj8u
NzC2Ja4AmbenItDFT6zB2YfaHIILj3nz1q6UTH04CCk2wEyIDxljYeBEFCzKzW/Ybc7DKGRAnDc3
YtHl0828ORStzauYmlxadt3mYGT9jOQbZOXMfQ2H47J5HY3N9VgzhXJW6lMMb5srMhx5mYFNYJXE
ZGduHVJUc2xOSnvzVNoRrzxZFutCmUlzP23eS+InzQMNad19uTkzKVjGpMm5rr0wP5M93jyclcrp
b0LyIJ4VNjdEHTIzWQOCibsRKk25b7GDstyfriUGUeFl05MFhgFHMw2tMAaMMut30L+rYztK5wsJ
SPsALSI8Nri1MaBSYHMDrgUOjWMyAHb0/nneLB4DvwvLxPdT7wIx3fwlgCsmbmM9BvN9Q3Q6FrRA
H93MvHeJqnWYM2znliOSfN+mgZexcZa7WZQexfaAdEQ47b2mMthfURThtEt9iWqIIKi37YPHifUG
lMNrwegRwwepYqyRK9UzWfq0Sm9IfANunDIpwuisaV9VZflIoMi8o8cjiNPFVWcWfZjc2W02LqJ6
Lgllp7pjnxjNXXoq6cLY8uzVL/LnH1YaGZDj3bTDkF1bj3zI2WIty3AW2mp2uo6cxAIBFVfAD7Ge
eA8dn7Y9DpEr8Cz5rgkHnwizeNMNlXiajp1Dju6281aSrErkHhkl2D2WtArYSrnx5gZULfTUmzx6
dU8WlurjSxCKIS6NfE1Ga5n3tTvmt8488LnhYwty0ye+27PwBUKfU8FruoznKEvs8djzPa5q2irs
CxqTjr7brJn1Eqb1UhwQT9QmR1jahXJdqjzLw0flLzV8wtWIQvlk25WnnkhKYYmjwbTKrS+Wy2ch
Mb2yuPJHM3igBTLNXxdXE1uTRONpJ4k6lr61Dys9tObiFuqWjcjX4/asS4v5bcSaAADJ6mAZQoZp
y7PqsLrsajYD/Dalqd32OHYEUJ/monAVqYFPMYA+b5SByjHn8r2qplG3JAE/c4L5lhlcez/S8SyQ
h2I+Zln23lgQJskqW5S/UMfU8PH8DCAuOHMzypI/o4mhWikoxPcQhgnIwKnKYC2H7rvsWjV9BFVE
aeE7r1EEquB/2DuP7ciRNOk+EeoADuXYRiAktU5yg8Mkk9CAQzvw9P9FVlf/WdUzNdOz7m1XJ1UA
Luwzu1YMfX1Go7e571ZR3lPKW3lRfsrIHiNF0XHbR49VPgAFNxvmq1vRt1zhBYDz3yeX/1E9/4ed
eu0G/9tx+cPPUvHtO1PHtPqT9vmPf/rHXi1/c/lSNGN4pvW7kPnHVm3/ZmNV/VXi/EP5dH/DhLoy
+CDoOSh2/9+NalOQQRDe9Tli/6SB/Fs7NaGfv+zUjOdN13R8vqZnW783Zfyifg6kPqo2S+ujRoyb
dgG8M3oCKpJ3SQWTl0oqZ2Bkkcm7ILWJYQtYJte8u3U4FokkvWIPFijJ1H5BE5lvSRtUD8R4o7fA
sTTtWTYHcn9a3KNqbS58a8n5RboC1In01Ho7aVrJQ4RXMD4JOi1tXSDsr9laIboXjmufh6Upml0T
pMwE2nmeMP1waaQ5EKn0qyu522/8YHb2udE5Nwljl9ucbp41Gj0aO7Mx7HMbzQwBUZkr4Ap2IhI8
Ah3WoHr2rgRoLwVwNLJPQ2nb7IPSPsE1NaudLprx1Sz5oYhyRP0Pvgutja1TMc+Ohoq6DalIMfKF
i3nHgM0+MSr0qHZlcgcrgM38mJq4gXf2YpZfKR/40Y1cfcvaPcU7a0mjz8VzYaTm1tS9qMVY0+P8
ZC8OcstLNZn5fZCbmNN0mtxMQ1Q9KkbhNz2JpPlCNzp2uVrSP7GhAVquW39hRVvTalj+lkTJO53z
czWe4g+ZWRHN46ZNYHbjZNqnvnRRb1Ys5W1U4K4nat+aVhhhXa5C8oj13qe9DhuXf6IxXd3kVhPc
urAqUZVpzD12/P32I4NAyBcpd6QkmS6TgQuXTkZ6C6mqqx8sq5F3BqRvOOLwCvB5uRAS8VlCgbUe
I3wOpxQF7kxFlXPCPlDf5ETFjIeFnYPsfGadkQCmbVPkg0NWW7jdcTHKnt/Zsvd2lTbfp6VsXlsG
Qi+cNB17Gyy4X9cZUPdpGaXc4SYnPcOyG9xpxTJMv1DwAEU2vtMkZmLQrOiaWxcOGIfSrsN7Zbgi
7DEIvMsFR2beWcGlUrYf74fZhKWmsyo9Rn7TLyeCSeDO02gwLkVkkISdmHTvbPL3FVVdHN/6U+Ky
p23iSQ33jMJdZBGYaLdKGkTILbobnirOqVcJcgOoBrtwkB0kwfIFcctqF5uO1Zlmzo2RZZOaNwZ/
iPY4u2ktXxvmj7gfApR0cGF2xOezmhpA8wzNtMP5TlVuay1MySO6Jvpz7+HKPBVYLtIXsDxBf2a8
4qKv8/h886PYeECLo8Qij678suT+PfbdS9KU1zR5xpcFzN/gI4NnOIqNsMvaMc4U9PpV6IvCfHJt
Jv7pMpP8WPplF7Vzvjep5N30tlmcmiWenlOkpNAIkvoKQ0eDcbu/zwYLrZzib6aHmbAkpoRkeuZk
F2OO8xLjsYrtiJs6BjAOx3apsIwA2AEGA/Ah10wretHFn27Fz3CcwQkNQOzEEM691heGNLMTzZRu
OAfVfb3Iyx7lEe+N1aFo1fo8pdmw8yl+3zl9grmvphLHcAxa2llpsELS0rYctMR1OaeCxmPV+9dI
2w/90sFAjKfVkeA+W+0aXhuGAdr0UN9M0ry3bJvDcgusHscImSwHi/JYoNtJ5aENVHQ8Zm51YVaq
+5HN/rW5iOgVJteE8a4pHioP+Ek2gnSB84XfoujGW2uI7H1Dxx4sQszBjrdcp40EHuZw+k4Sam5n
C82deFZH7TGBSviItaLrcXmtI4RYaDA3i2qv+imPmKMn9InYdXtoItrbMrIxV6hk043XMVFIGQ4z
cG0OVWrJXRrN0Z5IBqf5yO2I3AMfXWq8wCBaDDrjUutiLkCZDH78ts68Q+qZ023uz1UoAhgWBRWT
LyAMp6NZxv0TjQw9D8ZkHOJWfw2tVxzmJJt3fTtZj6Mlojc7d0Fs4Oql+CtzSsggMGpPg8c4GRu/
415UTUoAPmCwslFMcg5qyJ2zhMS01Ybh3w0qCfBOsjVRyZYiPjlIN6O3+KTGG3qQCfSk2U42aY84
00TPQePyyrplhCl+SMBdyuZ7BU0J3Vyn+TflFyVT77HdRKmQ+7Lrg0O9jOpVTZH5gqxm7PpxQBKc
quWauVSN63Rqj6Vdyjub/3BFysO4wf/47McNerQVNChtHSYCjmqW3iAL5tbZ1Vl8GeSlDGixcJtt
0aeDv80FXOdN4zFnodp23ri9U1NfaoHYQCzmspuAYDFUlR58vCGY5/38jOxYhC113VhPB+O5V2bH
uKirmjAd0M5Nu13N0PUddTzmtZ3lVSj7tWKt4DFwyFtq0QHzoVZJYBPfjJSRnlqmFD9sRlg/Buqt
Qy+xy4W4QoS7u3W8+VyBoLC32dy4oeem1lOdDOM9NBb5qeUQ7xRJt8smEm9GAOooreJvaBYg/ebK
pOvUfaoc17jinSJEZsO1Gclf8io10VPcOgcqUN4ib/iQonEPS+30G2A0OPnS+ds8zkHYF/iofb99
b0q4iaNtnoiZ5lxchPoRR/4IvcioQxI92XEUIH+2AtM/FUKRdVuArdjl3ZTfVZZ3XcV4YQjrDruy
F6ifIkbZ3E5JO8FBArkCwqSPSOR0n0OWPFIUxFGK8wUmXUJ29lgcfQsYK/1faN00L/bwa5v1MNPI
bQ93faPZ5XZJFaXvIs8fDeEx7QNl+JYIPz3WqfR/tFZ7P4zWV4Tbnqpe8J+G/1oVaBuN26cHnZv+
OZij5VKZA+NLGypoDK2bm8J5qiBPMclTuxECaijj0T5mei5P9qhORAhXW7z1lILyuix45hFBcQdb
LTFSkfX43Mzs0I6FOte9fnCWpNtbS1IxoFyRrtny2RMt3/b2UD9QrDNuUyROAi0lsKJirkYGKIQQ
56or93oAQdoa8iOKxTeLO/Kr2bj2DQ5QiBnSRdnvea7cj1KU1ildBqqwklRdqIrWrKERP/xyIs1q
fXYybxImw4UCrNNNR6lQSjpHOTALyFGO0ksOnFj8e8uYIRkVU7Y3OT3eiMqPbtuoPrd86HXRHlLm
NcncURXqY6HO6NgK50TjvLcy69pW2ROZbO8+0slwwJQM9MQXVX0/JCsqCySKPwJuYPRK6kczQWk6
j+jh8txn6WE9bDZWdYN3JwYTF8Bhr7/cNMYCTZV3Ypg30dTdrBXzWM4JQWK4z1T51hZwbpZOP07d
cKusngFadcVpjWzFigEq+khv53mgyH4k/wNtmMGdLBKMdHbqAt31HfcSM6K89Mqm2gIV24DqAIdL
EcVyC38o/08MkQDu/yzR2lzfMBf/93aXxx/6vfvVKP2Pf/GH18X+jYC2sANaOX3/d/bCP70uHkxG
IXzOKkAb0W3/qc3a3m8OJYmEAj1qETHPwFn4h1FauL9J24X97QBS/z21+G90H1rYq/985aM1w3UE
Fw/BtRR7jVgDir9c+XhfjBFAsnmaGtG+jIbjb7pi/pBaFNcwCJlQG8TlNPUz9/4kr7pOYVscs+YB
suFDY7bdeZhJ3a9wd1S6wTjNke1Fh7HOktuhaoz3wYeBHHg15BFHRj4Psivi7rby3dm+c5w0FyVD
6sLyT4CbpLgmz23WT12Bj5FNP19qmxB+jyiFA8D0s605Tosm8RGMfelsoggYwn5ZYmCLzIrbtnkq
ZNWjlPgVd6AzOR9PbFYTSr/zE5OiZHByQkH1jdOC9bDKUcg3gLPmYJdS7GGdwXgx1J7jrmHrp/GM
6ZUTadRK4c/uCSHRBTycU8+TPUazYaDPWH4+NmFSu/V7VkXyM4YP5Iek93VHxjmpzZG+ws5PTXLI
baa4VBROd8jpB7mQpr2s4a8AfHVmsaNNPa/xfsRRO+4WStOp/KgzOrbpodJUnwKXr+wejLCW5Jik
+zqPaGTSjpNj2qUPMVZTPqwhu2pYwI6ZmJ6zGuNJhsloA7+OuOYU491tyjh5gQDE1XOm651+3qva
aS8S/B8vXVxWJLO6WxsaDDHLMeB2HHsfvY4moEQTxDYOgASmqKKzT7HOn/VIcnQmlnSW0vkekwza
2RQAPyxAhwjsGOWB+9EzxUn1hvV3OnQ+grEU1QEf1v24pM+o818IK/3F0tWAzfP4esG6iNenfwVg
cy7HujrmPfZUP7VDvZRi0yG7XShlQiWgPzGJAR/kIn8mAJ+GA6s+IJzxB7M4D4rBEt1OAUYbRrLQ
rYa1CYdgZc7qenBG5ydZ7kag4YfjiAsnZsbOQo4/MRqK9kr2k9j5rmOesFGlgMkXdzMYcbJdukZ+
Z2o/HsrRTb/LpMFRgSSxU41r3MfQn3AsxT/wDdc3rtE/sHfrhwoa3cFUiL5VqtJjRV01o3/T2+Dd
hRUEH2Lfw8g/sS4k+7YVwT4uXXatxAgOozf9qN28PHGRRTpm7dgwAklBZOv0e83kdDu6FeXXMSNe
cqcduXQQmoR6ViacQV7THAtg1F26kUI/Wm5lbtoifzaK6ETYESZ+R0uM2xsv7szAwM51dk4a+kdp
U0+/VqjLG0xk9k5KdPIJDiHGCcKf3IXzSyKLw4Xn9bzx5Jaa0CafCTrJI843StRgAofSxImcjext
M/WGcJHN4R4FZfIfCidXt+Swy2rTwLxbw2XengOv3EU+xnqozkP22EF6xatgwXNMs1pQiBO3JRPx
nu/Gg4WHhv6dj6Fo7K0ZjeMtRYDWdhx5LOJgLLBsaz1/NopFdRdDKj1j1q2ORLwoej/0PFpg4GfP
1NuGn3aNGkz9l9VQyM6NPUL30sOQfM1ZF/CuTUHDZcxs1HRNIVH3Spn2xF04ccAWWCOUwKQKSkpV
pcKGYEC4FAxam5xOljnzDn5Ss0poIBy1yZ3B5W6wAqZjRtSNvcPmUhw4L6UbIZdvmgjOM3hDfV1k
BtTy/EUsKQDBIq9JInOTNxrnOjNFHoJhyGBVpJ9RJ9swFSp9LtsMpwVxjvRKtDMY1xLbecj0gJag
MnrCMZMz8aVP41I5RX22AkyOvj1ejmho944dGA85vpx3UbppGOe0KCxlAItniBNeY8xNYhfVld5z
6TOvvIiGiz7qufX1fX9ddEm94+sQzTDM+dCuby3uJe+uXEZ7HzWu3iFgkPIlT4enMN2lc3ecLDMB
Sb2OoBu5yA2df9Udlt7XaqBGyBnL4KMV3Z2vHUbZXU5iw5b9N+/noNuEeyHs8eQUlsRpyL1700O/
pkLOcXaZ0RsXzGgSaLiM1itzIVFfAwGbY7lO6C3WAzlfp7gebhbDHK/mNIDIMw8+DUrM2HWX8Wr5
AuyaIwgyB47emJOQ2yDLho2y2sNsgBKWdn8VDKxai00sFIspT2Kvq1OfOy7pZKA6sTXdD5Jsai6R
BOlFz9Fc6uDYaH0w5iY4teYYcbPWJipiUH7Mq8fBJBawHVbfgyLjx112NUNQ2QiVLM0Ig0sGqg3x
/rDrmxPzRPyfhvrSjf9Upn69WwIMHWaniN7OwUIIhTLQpNLkG2lUPRt587mCLThuDpjhioJE7Hrr
FH51IziZ4Hzig63MOdtPq79jWZ0exur5aBSJHLykoGtixomG5HcecmKBosxZ7xrvbVm9I9XqIkny
/k3UeX7hqoiZ0ww1NbJxrcMssi55BjrYfZhQpjz/wnge7LVa3mK18lx+2lWy2Y2uotqK0FIyln5g
kN+BCkyEsPv2NspFtE1Wx8vkyJHNnTmvZ8a43t0vbpw/nD4t9oXLgWHUzktJGIIegK55LiRfamnx
doJn7L/awaGHq6Ma2WER3fir/QaQfHYXiFqdzJ/GnJxK4gm/zlBGZshiSoaelOML7S5sGL39kKZQ
XcYY8SnTknXdS4vvxHIE0SFsQQOkhX02+kD6AqPad9lSXgpLgAeYF2c72vP3LoHOODKW30wBP8OU
5DmJ90Y+d6ZYoBITLmc3XaP3iT9oMCq54scf+zx75bXPe0SdSj42vsu/BSn9QODq5BV62tItFd8N
5DVv3T7KXgl/P7ieN20xx107ou6O9iBjkqVJpkhnRvyh0XadJ1TKaatd7hZMpnbOEnmCCbwP/ngY
J5x2q+kr9UYE8LgWiG+6QmLjc179UvXNaC39EcCof/S1K9+mvDNfyXN8ZCrqbxbThvM9wtQ5Zqq3
b9zSGxHBM12tYIV+xOwyU+s7BujZcK61Msv7RgbuPVWnnbll1TQ4Ygglti65/q+utSGk8qLGfKbQ
zlZkausdlLJcXhlo0/WRS+4ybDHZeeEc2w9UMw9bvzcvKSvKvnWgQL5XcXMupiRa6Bwlbt3E9ieZ
WBcZLhUf+CNxGjOxBC5rYDE4qZ9mxDRPGONrd9Yf5mpbVD8NjKuVMVpNjUxWi0NQebeYvS8iroh+
OLId6CM9WxmPszf6nxHg020iOv8m6N30BUqFc2UNqRvi8C12bkrZl6rVgpjToCnXvV3ft7YD72/m
T3GtcyHRWiOg30SoBpxFrYRIwOAAK+hqCo2tFq7zahYldSl2ip/r0LeecciIcZQHyvrSF1az/IUt
bvhWADJ6yLM+OpqZn55Md+LEGzXeualGGmxSqj/J8dJR/hwLUAkXozETqFqS9kxHJC9EYhL2UGkR
nEHBjduk1Fa+0U6lQvzYEIxM/LX9ovsXE3jpp6um8Si7mqF1lvU3Tpy0T7XttjnvX531oc0QOy9d
ZrScrigrpOmlzrg+dBNOW1bYLfckWnmWQNkrulzN4w4QaZ9fgMgvyx3jZu9piuTifYvz1aQ8Ss3O
Kgcn4EVssTJDZ0L5d3LHu/bsPHkd/QlnSe0PD8VSzVaI69u4KiqdvkZQtfdtJCHYl4suUPwrMyS+
FsuN49B6QcQEP7YZaejX/F+PumR5pVT+gRAk0faqGb5Xq7MbrDjt1P0SX7Q/vd8/beB9OZaPsJHp
uzR9cZhWv3i2OsdpXUnCOoYzqoylYATTKnc/rY5zhmFtG7oLg5yMKrndmFlgt6oFypXIquPg6/hW
KDua76WftfWNjhPthgFh1sbLt5KsAoeFEol0XlM0g2AQ8MlxM0Wo2+R+MzkPNcUteccyNtfSbzsM
CkkZbKaM4NxFoR0DNkxm7UgCVG0Ih5t1lIZgYPJkAI594rkvlPrQIr1MsfKP+ECU9R03UhSaRhbF
l+k4pg0zGLPNaOaNp9ATw0gtr+FPrD60HV0ST1DHAbPAvW567gJE4g6L6yXh2M9AQKZWnVqeyXDo
7fRSZZDTIjH4X2VbOx9mtQrmLdhVSAmleuzyIEpfqSsYtiVBOFRGby21XRaUyk7KHzDl4qM3lCuu
k4nPtklb/xlXgLlLPVbnHaacfN+Jbnk3OVhfTLNa8bEF5YnKPNR8Wfpmmv5OqVR9S7RT3k+T5Z4X
lU5bUToqdBMLx4OVlPYuzrFS49HgdNCsYbSc/GvbZvW14zRlSGzGeeo4Re6YXMAGrKxsF7PXcTjH
kK1F2++Gwj+h9Y5hzcX9vo/TYN/mpnh36S850oWlNhGjM1wNOBJ9XEOHNIZr3tauvLTT0uPj7ZLp
exGQZcA0fWPrJPg0Kxyi/CRkR0zBWEDMx8YqIJwMQ3xJI7nUGwvLB8Mkr9mrQLu7hpEEAL1lZapk
abKbIpDAtAsn3EaM/A1OudrUgV8ejRSGiDGxk1QTBGbGaqhghmnMmC9te19HDhbXwDduenuZ79VE
UQqjyiudo6W7cWXT0TAZxY5ylOSHUp5zFUVpykLbxIyziLPmHQv/oCDNFfTfkPHF6Ev/PJvONN8B
eQiuRx0TQEPqPOZeSjdUwZDU7GocFaZ1KyWxtq7rNNVmqy3cZypc1WAzONg18jo3mnarSzPfWUXk
bDJ8N6/kKPwNGduK4WWalK+G6l4x9wMdH+XBcbVlbmo1fpqajVWm5nKaS5KXFhdPiHtuP2x0hT1k
xrkD6T4mcb0U74A9k93Ip7URlf4GUvwiiamnWhpipsW3LhvX5w3H0I4aKdKs2rZ3OPvAWKQBtV1p
577nJDk2JXVbW87MsM/Wppxi12JwH2JHN5d4sCuels4/WGbuw2lz0ssijvNb9AfTDAeHuNBuJHV+
3fWctzMTtmyzyj9aduoUNE0BrnJcjsz+zR9TxRUtA5h4LJ0e+p3RCDy9IBty1X70ie7PfkkY0iR4
fUbXCpNkVieGXg0bsEFTOjSNuyVP4n3M4Jb7GkexuUoJ+C1ZeaoGNebAO7v5heECkelxurJxCzxz
lHpMAUdvfTAsF4mHNaHRCwdHuPsR0Clk9sFow2oc3gKruZqs2aYLTjxXBkseUXtnr7xWbifXli+J
xkZlgysN8e6PdEhH7uNS5y5T7lxcVHNymRrVa6/8Dj5U8tB61pfNSgqLkNNRFSsCw7V4tROai+yx
cj47nPahGVNYrozyWcNG+FKqNBboIZKyC1QPDt9agapcPMjdc09lVR1nVtgrGb2NYLDHjR5HOpeC
ebpvyCowMpMR0xwEiAm0NhXJHP6Ry51CY4yGUHhfsWDR+Gu7tcevF/n0A7RJD+2dd8Azc4hcFUfJ
JSU6DrA45KNS/lWeueoGNgkigYU5iWB0DtLKEwRjdqOkmnQ3mIm6Ftg4wXUr/lNeyS8Ri3snq1k8
ZJqcgRPk59llcyVr/hHlaqB5zsjjnfbWiQQscdyd+rykfs6rbj23bEmEP4kqDWLVAlWFpB3Ag/It
j0GP23PKS3H9C5eTcNwJlgRPt+N0zGqwLGPzBkLnTIM5tWKpYrITG1dRwOx1KTDeYfw/K4uI3mTn
/s7PveKsXOQ/3NjdlvoUKEvc4raR01y28XgXZN2nCf49pGnCZehf3TUODmuEGf9UOcRWfKNPDtxd
EBCX0riZhPOSWk53QccLKJ3Wo368sOnHMlW8S+vSOuqMy1nrDt2poo4X5aIHB5+7nwwGg7sB3OAx
i7CoJ/X8lsfMnEVP0wvM6pRKV/t75I7WwyTdPPQ0c/ctQbXph9v54wNrH3ZyzyUObjbDuW0Qo0wr
21qR4VwVdG6hs4Bp3bVmntOrUV05fdFto8V2hlCkU8BMm0p3xg1mkp/XXkArWOp9ns7qvbPq+hUc
nb2WGy7LBz575g3wd4332ivbG98sjGPGhteSsvI1DPqsvfTxP24xIGdJSGqd0YoDD72c5++cs3i1
YpBdgMzkTT3Z0dXSJ8OHkXpfWA9mtQkSowPcJYO7RTvR1k39qdqq1JyepHaHWyESZ7luaX5Xm8kv
6wMqaEmsprfVGuiBxYpj2GfUn+pQ4Tlqt1gMFPEnCm4dMzKurbR1sb+yGRzTaHycY/eJE4L70FDB
CBNi7o+8BxhJ2o4pXSCfJwmPBqyDeIhNhktdYt9Iq4veS03tckaLAVZKgU2h4JJuXEyCQ80l2OBu
0/RjcsEZotd7eE31FrOUN5ydivVn4/WgO+mqo/IakahINhNaGGeaEuNlxeWG491UK1hCXt0+t8pp
LppGSsJBlCGS2MbgfJhVFm1n1oVXr8ajeM0synwc+QJeKJthoW0HBimvcYRohECdMCUGEmgPCngW
T0+zNdVE7KOpUsIXSrUhG1YAo2CIOTHhyNxYol9B//16EmKVeS1zz3/D2Cl5tYesPyqZUFho6IZD
q3TIScRrs5Ejbf3gDormzcpkUrbhGib5JIzgufhpvEjIYoVVHMU6RFOb76k00KBkedF2S7MmbPyO
i7cWbNEcQUsVjrb6woda7RgR3EEvJdSO3fOssEtR1DRAQkqj5k7Ho3jJMk7gxPVX32vrWrddU1tM
05pR3nduy37KWlbfFgQgXwwnHc520qDLlAzwr9rZ6F9ycL7XcPiApSrI1VxeO/uuAwl5HxgR15cW
s+2FYSTi+0yN67nv5IgD1UYM1WLgLa0rltVN6UqCHbJLMKpQrslLOTnsWMOEKrixW/rBr1H4e/YT
Sk+Ki8wSs4t7enL5pEsqrfo2zkKdd7dL3MEW8GYFthUZ6tGkbfKcUQcAszmZvwpVWq+R1XFQW7ye
SmYEJrrgMbxt4ixtXgbPrfeTwa4b1w6bGY9UyGUn3Zlxlx2Uge9kgzR60UbaP42T2e/gS+aXyiJp
wMneMi9rKtGfaIPooRPotAxxODlbrwXKaJP9u1N5o67deZLHknjyrhsXdZg6Zty2op0UY/nUX0ks
/d9Qb2njguHwaHK+u2zrZtoPPad/5EwflcZI7rF0jFsZxLC7mGXQjtCVV0MffBijZVHLVBJoTNw+
NDDGXgUjrwYwj4TZrn2qE0veEsTWp2l2x7Nn+Av8Y+r2HOgfPDQBTDqvb88d9JIrMkn5pfSC7zCH
6fiMZuJgcn6P5zLZCifnZiAzZEWLLpiwaednorjR3m9B7Cqx2DuDB/2QjCAoxxYebd7VaDZ1Xs0C
oY0KYVtboYenc9O7NWdZc2lf04KCP64Ky3FutQekxGKMK/0aHdgKCsogXTEW99rFFz0nbDY0E2Ak
oU0ov6Q2IpxcxjdorBYnjTrZW9hzNkG9XLv5wv9uRnedreebqa/Qgcf8OejENztmscbtu0sBgIYo
Je9BRSQwiBl4THiow84ozJDC1HovrNw5Tk6J9T27XySEitpxcbkPxJXjeLkh+gh7OmteVNdkt2QA
jpEhjhys+sMIBubN0IxBBIko2yR/YS6ckDXF8gdM6PSdyeG9DLLmbhqaO9x2xbwxa8nWbq0XwaQw
biSoBvIJGCubipIbZzQ+HcMfrmpRtbABtbNJGYMh9ATOt35i1h6X+nJUSp/aovkPpeF/N7Z2TcGg
978fWz//aAlK9H8aXP/+b/4wKlu/Ob5N+ocP+ffo0D9DRb4Nv8HxTYIh1u8u5n8OrqHjYtmlalz4
K7yBaO8/B9eOoLeQMbjkWZMWzn3/3wkVrZGhXzANgopvi9JyfkK+yToj//PUGof/sGB+dI9Scp8u
k0TShQTi55e/yf8C1CU9y+Z3BMJrBwzH1/7GX2fj0QBMx6bk+DhkFdwbune4wOqoflvR4belByan
gCjVhhCg1evff+/18/r1V3TWb04YW2If4EbJH/vP3zzxioKKZgC1sRPUOetVN6HrYaOGrp7fs8HU
73FQqgB1iflKt8zpD230pOG91rPDAsvnZh5wqPQc67d2YzTnIa8TLGjZesYpgBr2c4upiSXhauj8
6L6kODf8P/wSPqYCC4aDy4P0l7+g2dI9U/YLQ44F4Ix2wDqVRonZ15/mp4ZMxTaycp81uIR6b5la
vXJwlaFbxzM/XxqsBmmhb2tUGi6CC36bgDHbKHOYMcGYM9KZrMcyHXo6Y5Yev0CJC+7vfwce2X/5
HBA2AlggEvqI+EunRefYwzD7U0CzjZrCljAUN7V2xmuXff39d/qXynU+cfRmG3eHK10sIX/+xLkJ
dOtgIziOdmwSB2n48DzZnNvebu5MF7f033+/v7xEP5+wAAgc4BRnHUitT+Av1g9hdVVF+JzvF6ft
HStKR/EXPKq//y7/xd/PMTGeuFx6iTA4f/n7BS3LRTEZ8tiKKT3gZvhSdpAe804+/v03Wg0zf/2k
XGGtRabruvAvi0IW47OZeAaPYuFevvidAPPKMzPPfHBzaa8yTEIuDgJHfo9xQl4quhpDB0P8fTJU
y0Xpus1dS1k6kfARN5Wy1vD+CNXhGK/0QKik2Lx5Np/GGObJFi+/Qzo2m/AlOzHfBAAydb+SPG4n
vO5l8pb0+Pe/pP2zQ+WXpc/hCTEtlgZf+JxpAhdv0K+f2kqvogKv1ceJSDeSD829/trhi1SV7+u8
49JIwS80fpp+185fHt7sSDMyKFVmonskGgCuP2uCSRSFjVcRzhN5eu1iZXvzJ3qFGd/tWmsSD1ZQ
NjRbTgUaJYevR2HmwT6B/gWaJtFPSVwJTv10F0OPsbIxfmM5y49eT79xPAiXUDidx+wuybGkW3pn
x156hEcxE5ynJTnBknTo7Fo+kszPTpmBblBZTQIXJY4+EuIz25JA44ki6/FGFTQ+b8aFVmbCbQWR
ZtLvahQcXR01bD2MwcW2t8Cj5MBsnimg2xZr3zMXe+PGBc3yOc/z6uqnFxowuH1wI4eTe+YRrF+4
0oScMB0IP7b5qIaufAEInn8pK6lxGpnBzDSqxbVJGZppcyNI9DcfJmHor63VbhAUp2zO9OXSBN6N
t7Zb9zKlqsIu0+kGyQ4ncVa47yaF2IamGTuhIttganCF78kg3Z1CIvTbc1kyQITs3gA0CU56NKrr
OlLRRmgyYZzqUYcMuMPcMi/XvyfOxkxt7bW/G9sMTde0y7sJLROOTsxTnJflpROp+cn4WQJuQde7
tgYDgsQ8JmJnsr9w1aU5HKqXPA2LY7+3oExuae3qGFubA3lbv7Mfc2cPfYgnYm0kHxrbfq/XlvI8
EUZoI/qXm/Vk98RFlGKrnJj7GMEoQ1GNjxO150li34mI2i7WtvGET3fezIbu5aZNxKfd8pkjrqm7
uS2u0silc2LtVx/jYkChodgrKfth25pcDQWla2bsoMIGOn7AW3NFPOAtWdvbk7XHPbJodM9a7wX1
FttCVaHWdNnWyLzguadhdG+3LfNmPUygifJgU48LjfEmbYdD1hibfu2T99dmebl2zFvlTz5AveYH
4uCAvFqRTqSV3lj76RWQJhKVlG6SkKJPpjWbkYcLO0vINgTOOpb/j70za04bS8PwX3H1PS7tQlPV
XdVtCAa8ZBwnzuSGUkBBAiGhFcSvn+cI5CC8xLG4oKZG1RcdA99ZdJZvfV8DqvuVRzbS1FB6cZK0
hjr58jDgAsUeEzG0oa+TAIVLTBAaC4q//pGU2fJ2Q2yAYyqRo2FRyFqfYL1/KauedGmGbBejBZT7
HCB1/HZZFy4Xl2CwC5J16o4u1tIsGMe5Nv06A8N6YphJ8VXN49VggZuhP88tSASmS+0KxANA6lIq
AMhTzvsZeWe3rQKPfeYXBEfBvTYTuU/Vl7mJOnJkLLoLaUoufmuz/qzlUvBBFdo9nKHLLqkjEI8W
5FRRbuL1ZCMKrjw83/gJ8DOA0w+AVZABQu0Z66h0HHaMMCt6LYMipSiR5h9Gs7z4kafxKryRCnLW
R/igLzZ5QXZSSGbLErCKjjfl5pA3YFlC6bns4hFWuow4HphGqnRXFJnAdSIVQ3LZkwdSHrRbhY16
U3g4zjoQBZOfKJFM4YBjuqKiScJsA7Fy7BIlgxLHM7+UCIiBbsr3LQn9guCJewuLENpJjsoXhqBQ
AYE+o3f+OoqoOAUTdi0Z8zufoo6vs5k678ylzapDLdv6Y0tfUpAxl9X+CloaPGNW9iVME8pf8BxM
Ni1XAu9a4+yJGWS0RP0y/BBYSBIfL4tCXd6o7mY0MJOYm2tFWf0F1BZzgtLBsmvFOSMHk+tWMAt0
9ExVuhQgKV0N8ojbjbnEX07oi98olg9cI+5DkKRVejLPoGrK85QhtQwBEA98EsR8uIO7quXqtzIH
A/EmKiWWqbIh/Gv4F5aZjQboKvrFcmRYpHL58SA3WK+yiqcCHTj/4uUx53qoRIMZOAaAMukaLNDS
IuqBTaUPCeS17goacDstgukk7RNb7OiFq39bgRwtOHDd9E4yl/wfyWx3sURFT2y68ldyGwG1puYG
/2/YS2YK9j/6ojrU1xKQNBwKMsXi0OFE+B7Jvesv5hS+5v4MwEF15HbDILvHUwqkVZrCUjtf6V0S
MEkKDyyKAdxp3ouXeeH2mH5zPo61duRexckignupwKtO5g4oOnARSp1YpQLiyiICvORkhXJQwI5p
7g05XOvFpl9e7/8vsP1VgS0IFigyLxusDwWl8MG0ZrBuf7MzWEs6Fx0iFUNCRwdeEG22yrSW5XOJ
rKQ29uzOKK1AMIS9KikqOMgmXC/Q5/20V6VzCEFxiElt6mBNcrQb2KtYcbrQgQFgIW+K0juhJO+p
2oDeyeTtR6ubbDGZJj6Oku97s/GMqSq0vj2t8EkDwrbYayBeq/5iuaaBNoR1LpdyZtlefuNZJGFM
Xm9KP7BMyVdvt3UoBlGyLV3TpQONvuB28nVfk69nOtl/YIwtWopKlZ/IS5tH+rdktp62xy61SKmE
tgJvyIZcI73wgoGkQpS5mIQRSQVTlESAtCyzB+GL1CvaQeZ4bUgbFldZrCUtbSgZsJD4iTUbxfft
GQe8obXC0X0RpR9miqcPEpyBH2fws5PMNxtFQXoBkyc0IGrMFlZyo4VWBBiQhU/ZX0Tu/FNkUc8T
ozIGkMB36ASXFCF+DB+qHwexvPQ+F2sfjtpRRN0Vt5C/AmDRA65waALy2NFx9t20ZUo5v3GPk4Db
mpLL205hrAcoXVNv8XQtN8NZSsDj04pkZC3oqvkUNAfKismrWY9Ieoy9pPe/dWrsjj/B4dQtqy7+
nTlxceckGdH+qnxBfPox9IL0npTClNKM3/3S64LO3uQ4Y52KvVk7h8pOlZ15TYZv0+ds4oBlb4lK
fo1ydIkThIdDxYdSafcxSC8UfuhEmSm9hWYKa27/bb82Da+PcDufr3+nNoJxmAWpeA+k5Af7Jytn
1Nvm4EBCbQ50ZtLEO1cOUQKuaH8OLBi2ZAgCVEvbztG2wb2F8tJSeH18vz0H9oRrpePBluON0/05
UI0SqKjRStBAZlIx0VWulu1Tn4U2QEuq8GVaXDHiYZZo8IRmAWwoY7s8x+t/TZ3wcXX+xn7A80uU
UQECSnkc5f5aMPVzbmwJBIvdWuDuOq1ZUDFoGp8KFG7hCCWdZLvpJW7V/VloG+f4shXNQA8pn5Nb
C7IsCRdhox2hgH8ifPcG3vtnd4RyDlwYZWhC6RLPyc2CorFQG86CBo0zOmcbMLBnZ0FWwG0jSgIA
9altBcI6IgzSaBFo0jlqsACC277jJ1vBOqcZrFqc4NUiObEDgeSYxovAPAdSVLjF4YMRDyr9/oGw
XQSGqB/HCOE5ubUAb+X2qH7/3QDvD/qRDubQ7m5gkLVJkHQAkwSV0MkdBKoGPkHDnSBURYUUKkPB
ihLPwaUgY7niUFEUxTi5SxGthVrhRgcBmP5UHxvE1qzt8A/fvmyB7k+gA/it7R45vePQlLcr8/17
AC1RhX7W5EjcDvKJvYAaiYpIjeRWCXmTfviGLz2aXheu509Ko8tzkufMrpe+UCnjTz/fGRr9yZ9/
CGui9kXhC9q2/dMm+6umiJcq8N6HlUpctrP7+W6AT5uutVWNqvrjpefENq7dovyg2HXzxl5guP3t
29/tOnMFJy+v92dP/vyj1s+99f8LwcncruSIOcFbhdeksVzg7MM63Bx5+CyS5oLndpDUgQ1ApWJ7
NpV8YfvejzA+ALTdniWNZYd+GNuTGm/d9o5qLjkInHHqwQFaTYF4iyY+xerfzzo4H0/H11ZHx/Ht
lR07lSQhud0Wql/Tbld27Vn44wwPW7b47tVWoQXEX/NWCIfE3qQmeGcqNO1/zwnjab3LaEUi2aep
5Etm3PMqOeWOVCGWqf7w/pfZn8B+U4kp5YJ5fIQjpO8DLBl6SV10qYs3nYt+MPHsg1OELANUkcaS
w1V9WZBJhZbbVOzw6dlkyMoR9suQnmXjeVF1sXx/QgOv/vD+dXEVEsp9Ms3Adh9hbVzbXlA7PUSW
3RH6fG3D8WYHk2r0YjoU8EaP8Aqv7SSxx26WOGlaW9MAX2rHmBJv7HpTu+7VBAf9CDv82uMuIAe4
trLhqhLY6k1X9rWXJOI/KgUrYeWky+RmVn94/xoU0kNS1itJO9FH6TjJpAdniCIDT1Q19f5O3zjf
Y/tAeyJjzDiK6Nyu31s793/T13jjrM4u7cUycb36tY58YeYfQ/7AiROnqGSVr5Lq0CMJv3bW3rh2
jeEIFs6/Y/T8P2E8ryTt+i08ao1Fgz7pnj0HwUxRv3y0Bjr2/HDvq3DPNe//S4zLL8OUvUm7hJjm
RT6+pqJjB3qtauTlq9w6R5u+yo+/4L1o2O87N5w4Z/3kyd1mGiLLumnvP/0SC7xh/7cNPF2IAmr8
CPbIPbPvJIlTUyl2IZCmc/MiXF7DKfmc2m715sRC3Dnnmnb3lTKJhh3+4mHZHFjBKoHCI6y/B5t7
B5zS+tbEmy5c1k1n5MFJ0rNnO08M7wiL78FLxiFpZrVjZReLbdz3l3OIXn2bz3maHqO0T/1PVQz6
uZ/VnWviG2PfseO//gsAAP//</cx:binary>
              </cx:geoCache>
            </cx:geography>
          </cx:layoutPr>
          <cx:valueColors>
            <cx:minColor>
              <a:schemeClr val="accent5">
                <a:lumMod val="40000"/>
                <a:lumOff val="60000"/>
              </a:schemeClr>
            </cx:minColor>
            <cx:maxColor>
              <a:srgbClr val="002060"/>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vertOverflow="overflow" horzOverflow="overflow" wrap="square" lIns="0" tIns="0" rIns="0" bIns="0"/>
          <a:lstStyle/>
          <a:p>
            <a:pPr algn="ctr" rtl="0">
              <a:defRPr sz="1800" b="0" i="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1800" b="1">
                <a:solidFill>
                  <a:srgbClr val="002060"/>
                </a:solidFill>
                <a:latin typeface="Garamond" panose="02020404030301010803" pitchFamily="18" charset="0"/>
              </a:rPr>
              <a:t>Performance by State</a:t>
            </a:r>
            <a:endParaRPr lang="en-NF" sz="1800" b="1">
              <a:solidFill>
                <a:srgbClr val="002060"/>
              </a:solidFill>
              <a:latin typeface="Garamond" panose="02020404030301010803" pitchFamily="18" charset="0"/>
            </a:endParaRPr>
          </a:p>
        </cx:rich>
      </cx:tx>
    </cx:title>
    <cx:plotArea>
      <cx:plotAreaRegion>
        <cx:plotSurface>
          <cx:spPr>
            <a:noFill/>
            <a:ln>
              <a:noFill/>
            </a:ln>
          </cx:spPr>
        </cx:plotSurface>
        <cx:series layoutId="regionMap" uniqueId="{69D88B49-BF1D-499E-A7EC-9853FE5D6B14}">
          <cx:tx>
            <cx:txData>
              <cx:f>_xlchart.v5.6</cx:f>
              <cx:v>Revenue</cx:v>
            </cx:txData>
          </cx:tx>
          <cx:dataLabels>
            <cx:visibility seriesName="0" categoryName="0" value="1"/>
            <cx:separator>, </cx:separator>
          </cx:dataLabels>
          <cx:dataId val="0"/>
          <cx:layoutPr>
            <cx:regionLabelLayout val="showAll"/>
            <cx:geography viewedRegionType="countryRegion" cultureLanguage="en-US" cultureRegion="NG" attribution="Powered by Bing">
              <cx:geoCache provider="{E9337A44-BEBE-4D9F-B70C-5C5E7DAFC167}">
                <cx:binary>1Htpb9w41vVfCfL5lZuUuA6mBxhJVeWyHduxnfWL4MS2SC2kJFIL9euf6046nVQ8yUyjgRcdoNOp
Ukkk73ruuVf//Lj842Nzfzs8W9rGuH98XH59rrzv/vHLL+6jum9v3VGrPw7W2Qd/9NG2v9iHB/3x
/pe74XbWpvwlRpj88lHdDv5+ef6vf8LTynt7Zj/eem3Ny/F+CFf3bmy8+8G1Jy89u71rtcm184P+
6PGvz5+9+fez58/ujdc+3ITu/tfn3/zi+bNfDp/z3ZrPGtiWH+/gXsKPCMYJ5YLL3/7w588aa8rP
lyMcoyNKGRGIYPT4B/++9vltC/e/uXUKzu+t+f37p/b0245u7+6Ge+fgQL/9/9t7vzkDXPr382cf
7Wj8o9xKEOGvz18Z7e/vnl37W3/vnj/TzmaffpDZx4O8uv7t5L98K/l//fPgC5DFwTdfKedQcD+7
9L1uzt/9lbqJj2QiY5Ik8W+iR8m3uuH0iMEVyjD5pDv2uw4+6eb8fn72zg7179/+95r5484DvZy/
+3vq5eLqr9RLAnoRTLCEfZK7/FYvn3xGgFsdOMvFcF/+GUf5/b4DZVxc/T2VcXP+FyojoUeCxFIi
IT45SfytMgQ7SkgSE0bYFyf6FDw/OcnNvTEQle7v/3cv+erWA83cnP89NbM9+ws1E4sjKinFDH/2
kgM3EfERETwhsUie1My2sYO+u/3f9fLlxgOtbM/+nlp5s/8LtULIEUukpAlDTwYvIY94EoPe5NNa
eaPdR2uc/jP5/o9bDzTzZv/31Mz+r/QXgo5wTDAT5JM7oMNIJo8wgaRDBf2iua8j2b5ptLEasNF/
BodPA7E/7jzQy/5v6jGvbv5Cj0nkURInnLOYPplhMMZHjIs4jtkBAHvlb9X/ro1Pdx1o4tXN39ND
sr+yWEn4UUwJYxLLT5oAfPVNsYLlEcM85ph8zjm/S/9Trs9uG/1gB6P/RFL5+t4D3WT//nvqZp//
hV4CeSUREnGIYJ+ikzjUDSQeSCpcIPqtVvZ3t8r+/tV/X6N8vu1AF/v876mL7OIv1EUijqQUlCLy
uXA89BNEjyjhImFQUX6dQjILmOv27k9o4487DxSSXfwtFPJjsuHrhPrNL/9HtgVSCUVAtpCEf4G8
XwcwKY8QflSL/FzRk2/1c8CB/OdtPZ3nD27/5iR/F4Ll9V/pJ5DZgdsiNPmMhb+LWQxiFk0E/1xc
gh997S7n99PtnylQfr/vwFXOX///cZX/TIh9YQ7zW3+7+Y1y/IoT+/HV38m0g1t/AE4/X9rf/foc
Y5QA/P1CZT4+5BvRf6nxPunjq3vub53/9Xkk0BE8AlGMBCMx8Jugu/n+0yUOJVAMyUjiGCNISZCQ
jB28+vV5go+A4gTvS2ADKIbq9PkzZ8fHSzE5ojEwPmAKDLAgk/QLz3tpmwDEzhd5fP78zIztpdXG
u1+fg2V1n371uFVKJOB4khAM1gX/RBgO2328vQIqFX6M/185L2gVnR2P43gsfdbUsm0zEit5RsZE
upTTwZzVbARqWKpJQNb7IqsnVocDfr06RTERscAgH8Epi+PH3X21et+Xq5zWxe/mMZ42PLRsg3Xc
5IHr9vhPLAXJCCFOgEVmB0sNSTVh3FK/I3jQuybGc5o41W0Sgfs/cSoQpUwYx6D0BND416da8VJ3
gRC/a5ZF75Zk7fPB+zrzCx+hAP2RAIG6+E6ACZyJQDSPoSI7ONUy+bFuKAhQ6kKmU4hfmmFkD8vE
8tIUVcZtEqV9UdRZh4jNfrw42OATiyeEP1oxlvTgnH5RRZF03u8iS1iKq0VtDCY91HI/OuL3NkKh
qRFD6CMshhB4sIorReKmvhh3gyRsANs0zqd06fm0qbrWtD85FPQZDg5FYwy+FSc4BjMhj4f+yiRp
P8WJwn7clYH5VNXDPdAUD6K0bYqb9pQVVZf++IDfi5FCzSahohBQLyCGvl2xUHU1i8SOuwpRmplC
NqAsaTc/XuVRTF85OrgarPJIUAqOJGSaRzF/dS4yFtjUfT3uEj2FNImiszJyFwHHcbaglv7kTE9J
8evVDpTGCCr7kjbjTkwzTgur03JqfdpVdZdaKX061PWHHx8whkD63QkhQzLIk0yCQR6EsqBqJuYZ
3A4rRi6IJc3rEo3FntlVHI+2rPOxv+JTEFnfEHfHPBInHU2Ox3Kwu2mU02Zc4jkdZt59XJYk2gdG
ZBoXvr9eh5A2XJUZrvv1J4EJP6H/BBGOMKOCx99ZnHAli60HN9LzSOqURHPN02Wh0yaKEpRqh/us
E3bOE5DeJm4W8h6tfLkcsejOuV+TrOxKeQF4rvyJL9Antwbx+dHDKfx34AyVbFi90sbvFq82caFo
rge1ZL1gfuP60r1adFJlaGayyW2zmpPFVMOZK9qpztvFT+mETFoTV6V9MChNcFfkhREoNXEZTssx
Hs5jtkb7tZ5t3k/e5zOnXdb7Qb4eZx299pMoMpnoPhtIxLfQodLplAxiM9rlxNeDS+eoGTNfUJku
DT1VpH41zsKd1yQkaUjWejsko87nyF9YydfjXvM1DaRJ0qVoijOkAnoTDf20q0wdZQUND3VIrrzw
dSp5WR97pvwFPNlsf2yt3zvIY12UxOD1kIM5PzDWxZV0pPOj0p06j+pRZVqgPdbLzbgW3WYcW/w/
uySsCNUWo4jyx3jzbQCQwzIJudZ+NxTFHjuyaXD5URpyNiSGZLVkb398wu/jtqAcog0GlkQC9DkI
a66UkwHd+F0Vmi6NJzLvSzsnGxEPIf/xUt+bqaAihh4k9MFQkrADMy1HOlXzZCELiome2qjHezuP
/CcCfHIVwoBgE0kCxdOBAFtURK2fQYARG9CQ9lxGx2NfissfHwZ/H8fgNNC1E4AWgUSiB+vUOlox
66TbLQu2ucWu2rKlLXPmjE1J4ThACjB8xJPyZBBvhrjcWVLrn4UlKMEPwinwuwnDVGCaYEwO9Nf3
lqx64m5HloZv5l4222Ku/JbMXossISvZY7PIzYDsfWNnflX7at6VFE0v2nVNTmhti59oIH5yT5wD
wSMSCZj1IK2UJIqiQiVuZ8rR7NFANxKNc7oa358XrhszxcfuXUPBlZs+Chdjp0PGNIpzKYzNuWnu
G7xM57VY8nWd349VFGe99t11MKNOO6/pMS3VfGJCcx4h/zNw8fQBJHRkE4D04P+Puv8qCxd4kG0Q
MwhVhaty4N12nEn5SkEUy7qeV3nhMMpazjxkrKE9CWq9FZrfuIHJ/dgVRbaIYdooZOVLu3J7I8h6
v9LCnCRCye3clSGf6yqCXOGb7aD77icpAT+q/Vsc8Uj7/3GCA+ucfQMbtsHtQlSVJ8UqzYmni8mr
COVeDxDkRxbSqkL7xIYpcx1pf2IFyZNWIKHNSsEZMT90dxEglgQ6ul0VKd+lYyPoB4BVl5w4kzYS
3dlmWt7wGKuPbsj8OJVZZWOV14ky6VS6bYyczQdGeDprPLcpj8cuU7DgbqFVlZGqxPfBYAyhkl/z
pN5QVNmcRfJNJ6rhGE8UnUUUN8ertbd8QtcswEIlwWPWzdLRn8j8e+gmoGeMCfRkKENQLX1rNDQW
vC4qCAh91bwxxY5PVZNHK1KpXWnyE5z4RNhmgBWh8iQcHowOKgrX1MwMEHR2XWkepBYFZO2pSsmy
yp+s9PikA0uClYSMJSGMo0Ng3xfl2PGCgiUN5U2Nk/JN1axFk7YBqgka6qZJEYvEScGw+okJPZF9
GZCSjCfQ9kUAvL+VqC91HxcVcruRh3eFF5cL768QKR4a7j9Ayct+kqB+w57fnZXGUuAYCm52GNPl
FLlFazBZKMPN1ZgA7glFkgejpiyZ1ntUtDdWN0tehg7ADRE6m1w55AjQyo/Ty5PGBGQTZJaEE3SY
lvXoJ6om8N9ZWJ+jjrOUqEKlkbZlRlX18OPlnkiaDAFyFBJD7Q1F/reSZrKqy3ZcQMlhWHZlh4ts
HYX6SY34pHxheoyAJT0yaeIAAVQOlxaTzu2gRh4yMS0qn0wlM1aIaD+7BLxzImMehb7ZzEXZZsAG
NJtlik7Xlf0sRn5flAvo/gBaRuBDgh766xxGuipXw2Ymjzaq5OXWDeuLMIUyK1scZZ1rzU5xH6e2
HtFP3Ao/5cGAhkDYgNsFObQ1X05FnBg07AIm6kPHh4im81D6C6cxbdOZWcYyO8ID0ijICAA16xua
o6qr47TtuaqzOQrzi0klZZHG3o84oyV1dz+2jCe2KSRjDGIMB5yDDyxDRUIHali/Y0sxbEeyThvi
erkBLK9/IpInlpIQPzm0hYCGg4mpb41QV9h1/cD7nV+L9oEkgb9cjWqHNGLoTxwLMCgl6JGwhQUP
jtWZbvWdIP2Oxnp4KWEsZWsDL06rwd/+WIBPBDFYCWgRgIgcSK0Dm4/XoqzsCCvpBJV54U133ZZ9
vIHstqZoaUlKrAo/CR9PihLqa8JgnoZQeXC8skTGS0X7XYjxlLV0mVNdtXE+oNj9ZCmYBfk+QwDS
AE6cS2gSQcT6Vm+iJnYsVwwmQgbUb1kIfsi0IvOa07YwTcYGF+cMMHmT9ck0R1uoHMdlsy48aV+2
goJz6QQ4xn3hQvM67qZG5YOpxZh3TcN06ote3dqZRi/qRFC3LVVTVqkzWKvUwJGSjDMrRC4nOuPt
nKAknNJIyZ0OA183lgyqSsta4Rs2xivOG7LQeFvhdmGbRHYqfitnrNt7VgFZUqYdVDDqdFFDUuSD
rgf1yjUWh31jgF3bKY1bsolQh0/adVminRvryZ3T1oziBfFjKF4yhxuzhc/RvG3nwdVLOhJZm9zU
EylfCG4oz0ea2Go70r65niLJipPBRPYYD7Up0lAO8ZBKpV+3jiUkXUZiqz0v57LLxGhtvQ21DuWm
7YIZzqoJykmdMdnNzc65Wdb5MtGw5HYKBTptI1cg4B3aLs67lj6CKy1EfMtdAXwJL/ySrYLY4bqj
OuI7610VLueCT9dGk8FvQtRLfoVsK8rNGKZy3AOIXba9WKTeElOyLiVdua6Zc5XcmQFS1KYpHuk/
FMWyTntHxatK9U22NK1NMkfUhNOq6+hxK8aXwPNux4l2b4oubt42wNRfecPmtGir5TgKVbNJenkx
NmFrerddFDdXBQcSlahyU69G72JSz3kt63ZbjtNJMoU5izt3W9WMpHSMi3yslmTbJskdSaJ5M5ng
YA8D3zE3o40kmu2IXG0KiHlNKyPLU0e65QP3/ZyTMVSp4dPt2jN6PCXLmk5LSKluXiPENixi/SWV
7bDByOjLOpnXbEQan4q2US+SGfQB1YJOnS5eL2tCdzTCL7VWXarCUuwLSepsqeoRQIXjWQNZIneO
ry/rZtn3nvhUr4HCX/VFDezSMpPhpF6WOF9R3W8WPzRppYopq3ndns6JyjVo9rIQ5KqN1LLBs1Db
dR3WLER+zIs4xLsVoOtVUTbdeyMcOjOKizz4nuUL8sMDi3qTRX7qcgGE9Y5bS/dDI9eUm2LZJ0jH
exe42ABJcRLjZatph7c1DW9bNPZvjS6OOSXXegxv6VKYzYwkEHVj8bZlUTmAB7ZiP43cbKeoL/KV
Rje1FMWJKxKds9KKDapIBHro15RUcs0V1A1Xeoimy74cxJUbF8iLiTvzoeBps6w6DRFMa/ZzdywS
r4+1a9tj04rpgTg/pkHPKzBc9aT9GrLR9mZNoDSP0VAWG6ulv6mtUGsag/G8aWOULDnvoY6AZApB
oirH+V0Hsj/vZ7CyKhQmFTXeo7EMm8h6u2V4FafwD7tZwCE2BY1pcGcizOXs3gU1cNenIS7IXOer
i4d3EU62qCpFmUYx7HnHo9h+XPhad8dJ3cRj3oqBT2mwmIuzKGK+SmsuhjJtwkSjE6BnkQOSttfH
wwCSSn1tmnwV7XSjgNW/jJsqvilaU+v9XLFhQ6Xuz/Eci63V07ymSw9knNIOfWCoADwJ/G634Stq
TjtIsh+9EyXbPHausmqmOjlbFseuyVQXDxLI/TEDFNBC8V1MKF+DWF5Bn6l9GLqBmTS0Dr83Cx9y
KNHohTRx905LM+dOubDzgFhuRCDVu8nBc0LULBvr4/5ktVBP68WQPUy1uzfAwkEbpHJq3fppBEtQ
iezfqlL0H/uO1Nt6ifq3vI/1cTUUvtkni6+3OiD3hto+QH1o5zlnBW19Pq4OnKOJI5rViNR5yRjN
KgBc+7Gndc6BQt5AVSqHbQ11U3vcdhZ+73U5ve6LuVw3gmosUlnOhc4sIr3MWmgN7jujmkcbjOaT
UlbqGrWqSS0fxnjrQJzRayMJHJF3tVSnZbzCVlk9vZ7iZZxflEVRXmjRi9yibn1hvRBnRBF4atLp
HUGaXU8+pmsKSKQ/YZ1SF9XsuvdA3cUbIM7oRTmAq26MbdftOi71drYLaXec8/KiabqJZx1V9AKc
qAenAu0CCd+f1K0kF1yp7sMwlcNLsg74xmmQt67qsFuDCTuhQKjRQMJpBKb5sqND94E+VpiZYWs3
5XVf6R1IVh/TpYXHRuNyiQfSn3S4kmfr5LoPPnTD20mBXFfO+48Wl0OfrqMCsfamLU5KYCN2o/Tu
Ts6OXpC1j+Z0srK8WDTVHeDdtg13a5UQsUAGnhPSpMmMi3CGIS13+SyrMouU6Pu0NKoyEKHGwqW9
Rfimw4FeaGqLVx1T5Tmjo33PSlbnflSrSuNoLXA6CQCRdEziTelFfxIGVORlNE6nQwuHJ5Ivr0RU
QVwsC32cdHB3h6LyYpQ9W1MlKCBwgwR0LJK+2Q910Rapl0Di5LqeixPVevhBMUmRluXc+LxaOzum
K/g50FjGvQkBSGvBJ3fHS0KzogjNHg/+0cpH1Y3Qc4nptW7V9JpYP/JstrDJhqL6Svihu00qxa4j
ufZN2plZXQTWGpw6Yoa3Tb8ul4K58TXqlvpKP6o7HgpxRitcXPVkgoXqKGwl5yhOAWSoC+JAaqJS
4RKVUXhAq9W7aCHUpEDaF1dxW5F9j5Q5Y8kMT7RrfQWQfXklEXRk1nki0ck6ACW+iVoVHngHNF9W
jKqwKfAtbkgNi2aTschyA5F8baNMR6y4IgpKrrQbXR/27TQxBWcHS1qjfoDQywhYGsQsddHUlcVZ
i1d7GSUVkLhTaEDXyAk17Vlihcmk8w9WRFAzTaitsr6d+4fIVvg1Kbs5n2aH79lUjWMGrte/hGix
Pti46oaMxSbU2VDR8T4W40pBZxxsv+tALAwyuduhucZDClOF+GaNm+hKegTRjLPpfulE/9IXBoj/
Pu7O/RS6d0tV9C+xF+VFwXq983IU8HaWSPYQx+SwCQL820Slf9NrbdDLIRIOYrytW7q3wYLwRMJf
QE1cbLuxGCCIsZgDb+qTERrCiXi/OuHPi7Yrd1PTTMeEtaAaSJtnyUDqMaW81JeMuG7bGeJeDd1U
pMOqHnxp4SvXdV1eTF3ygcqSbknXrFlHgs3jZDEZnRK2wyCvFDqaJK/hlbIu9UkbrnA7LJcAQubU
kKp4HTclyZrIXntJXkwcQuKCkIZaZhjyeZTVeQ/8DxrVdFK13QDL1uwCzS0+V7yFuJGs0F5HOnqx
sKi7MIEW16yI7V4ueiwh6LZrig00G3tM0Z5qfzKF0OQafPMFKufhzJTcnJTKhBSgPkBACe0/oFBv
JVX9vuZmuartlNxNDTnpNcIQ0gT8lbh+YxjussWT02WpyBvA2ygNaLEf5PzYZ7J+q4BZ3veF5dAt
UwBIp8qGN2KZyytk1LzlS3fMbNPnco50mereHot5vQX+r31Xt3zlkHNASHFESgj0UOFkPASisqqu
3b6OUJJORYQu6pZ0WzeO0PjCY5cDQp0viajRLqkqdz32EYNQJ8ur0cEiIy345YikSYGYDikUpeRW
asleM+ebY63566VC7Q7oUgU4EKBc2upgU6tn9UILIG4sjvdFsuIPChXzdhIR2vkYr7nQY5LPEzij
65RP5xqowjIEdgrggrypCN0ZutgtuBMEYFtBdVqyXu5kI+XDVI/xm6Uj+Fy2coWphZbcdGqpsgUw
7JZC7DptC9e8xpTzl2ECLdHJLf2WAy5MBz+Um3JZuvsVWk1x1pVen/cVmIE2TanTaDEdhLUuqJS0
lcuWrhoyaCCkcvVxNnIGgJ6U1W0VlvqknM2xr/umSimJzmyolpcrit94HbVbcMWtTtYKgBqlAMj4
eN4SWrxqagswg0zbGkJglXbC6yuBhjWv20ScuqAheiG1UbSp0zoZ6EXbUWszNUsMTYtm3YdgpxeM
RpB2WhHV4HDMnHTlUl00VaJs2ldrA343GChLm6gCN4Ie2vRCFr5628LLRjuKgYAHas1Cxlo7oDRG
HS2Xskj6swBkNlR1fNJ1Og5VfSJnja5gKPBkqPhyXEw+m4SrXzSg5VNnZg5R3zbQHJ19ambnz4D3
DSlz1TFeIvlWQs8U6pzbwZoxaxVds75jU1Zxo0Q6TR6/XQIZ9jbmH/DK7ovB9u8BsTbvG9daCFou
esUbGm2TaSw3no/ty8AAsTRhwND0ln7NyqVQHcCh5XiK20mfRImdST5x5PgxrzGGHEOYvYjmsi5T
E7i9APrGojQWVWmhDdBAELKYVu/btjIv4160L5kGHjnVAQJopWZ/17gYfTCuUnd9gdYuiyN4YA9T
ACd0qOx1gJeE5rcDIB7Qm4Yip1WsgSwRsWTfdAIyily6d5AtgTtbGxyPQPrDJVvo+AbwMVSmdavI
SVkv7q6trb9zowMSwYWxfaiJAVbBrb54j1yFP9RqgExvSVguXb8U7+N6gCKcFDqSWbcW7i6iXdSm
8TpJvllraq6bfoHA4NQy2y0v/WS3RM7AaIyLAvNQ8QgAx5rGXis21hQwpi3eU0zhHtktzZDzStY0
JwaBGZkk+DqfHOxyU1EYl8oNTGlxKGIWWLTSxLhTvVIPdSMyE1bZ3M263AJ4hSevkVjsnsxAP+aK
yBDtovAIATx0SIsUiil5VilETM6GFkBrUzDQUrRCqsuaZSzeT8OkVFqOWi5pUdL2IR5HWHXsk4Dz
mSTy/Sdh0ikqxzSB9qTOVodgMo3jdbEp1BN2l0haZknPXJ0BFwSiTzAx1xTmx8yu0RXQPTBZoKHA
rJf6uMPAAl3EPV3w1tOVnobB22s6w0QFqBD6rdlc9HC+mlPgQ4YO1dWpgymGadcGGPx4ISc/PUwM
uNF0jGmnXrAIq5s6TPHOjMa8abHkL2su+yLrOoFuZtW5cLwADV9ckBEOfRxPCPYIqBx2rU0BymNh
MRH0/yxtMtAJ+C5w/yrkwMuAFKfIw+9XE7s7DdWLTmGz8iy4yd3rylXNTo5DDw0M2epqh2odL1mD
wH/SGdS5Hhvg/05m7SKUgh0CoqOKdNUesQFIlAF6KxUEF00HcHUCBTckYchfWTuiok6NGGGsKl6X
tblQU4Ky/hFCNtzEPm1gNvAVrlC86RuLTqAnPRzP7Zi8bEuxnMEsk369rmp+Ncdk+tQG+zz1efmp
XfJpdvGj7cKgS/X5NfUvH/91Y6EP0v726vQfXz6+5f7Hpxe/vx7/w1/t7u3juxju8EePu/nyLNjM
5909zn1+8+G7IdT/MGb66W37/3Dxv5tBjQm8Wf0VNfzdDOrvr+X+MYL6+ZbPI6gYsyMCoxFAoEoO
Q92PY5afR1Dx4zQpAxJZQMcP3q1n0Mv4PIJK2BGMVEi4Dwh66FTHQAV/HkElGOb6JXlsxEOTFF5o
lf/LCCoMC37L80IDDpo2HFgMgFkURu8ORg1qN8IA0Cj1ZVXLBLo2MBS7QHYvAe3JoiPkJWE94Gfb
IDNsiwIGTqCjMWmW1eBH83LewxhDl3IYb0ud17VPrpRogAx4Q8UU1ShjNeDfbjL1cbkaNF/6pkd3
LepmNKfcGRhnGDC0f9N4xLaErqqKazHtrCRAhKq+OoF0gh8SqA5tKl0vPkRxDUiVifKE16RPrS1X
AIO8uaJiLnblatc8kQ3As1rbKTMJGwFzx0NbQ9LoBoifCYFkiKIPYmEqbyH9QzyW/JypSe/1ulZn
S030nk90fD9XY7whqJMsHQxTVwMXtcqdXcLlBKNCMoeSFmjCpIMTp1B3eAGTWU2XS6TUaV/U23LS
ZebLmX3Q8+RfOaiOqnMKYT53uuMX0LInMzBai9JZwwLNPFT0Ki3kIqfUIa/DNafew/hv0YW3RbAm
jZCcgARbivIa3jCAuVNnA0yYBtj+XrNCna7zsrwlGtpNwNwvaF+aZNpIVjuTof9j78yW20a2rP1E
6MA83AIkRY2WLEun7BuEhzpIDAlkJmY8fX8wff4uyx129P1fF8UwRRFADjv3XnutJaeSzimCVlWk
Uempf5G70JwrNOkZqYq8sfrW3qu9GDaHzLf4XVzPEYcA0LpOq610qzRaRL8dqqDvzSFs6OCCjevw
kSdx7cytJ7kckkYsh9IevWNvmzCVViX+HZnGpxtX1ue+9MfTXHjhIdDleBg7ET3pzV/IKkRdHNx1
6J7qUJqbtfPz1JbaebKCZD62kwxvcj9aLVKyIPw2q8Q5LGyaB8gG2469dpIToljpA590a6k7v7Cr
9d5uRztSN27tz7HKkqDt4/jIQPhkO5No1aNfa9Fdgzk7fmp7APAtwEAZks3J3r+b85qORCpaeKt1
qhz43Ae5MXpPY18wV5szRc9SteV8iKwlUa+NmSKdBl1vH1ZBByA1tuhk5i1L1B9Ct+i7m6rLTXIX
qkJ8o+W3qqxqImiHTbxK624KyqLPcg75h5423d3UDgLmazt/dkmIVFr383hcVSvX66VYRZD1ndvS
TWtCW5wB1t3uTEHfOOngrIOTzVthDWfbyOiE4Uf5WC6rs2VCTzRPOpNLdnYeRxAN1FoOB/Kwcc5U
rqbpbtvKUR+ogrysE8zmQU1ycjK7tQyIugWk/hhydPaZkaOM7pdNzg9NH9hXpo7Ggyi8YmXF+dae
pipyTSsqH6wOeshpyvNGpLD2Q3OQDUmfi9EHRfaiixvf7t9DSq+2p2S0vlpQXNhTJIpLFgfVGjwM
ndeDJGqgGToDa/fXkoPkpfE6ig/bFrvdlZ8r017xZlWkidUOw5lItD6D9pE3wbQcdFY2jRteNbZw
5+uoyj3oMsr8e7b8l2AMKcLLoN+ep9qd1HmmwdRdm5zGS6ws59bre/t+yyv3yW9n9mPuJ5U8VgXR
jI4XhMtVV1fb4sU3lRWv9SGerWW5W5y5u428vt0OXKm+iuO83zmAORgKc9WdCrVVB3fzvSdLrfZ0
8kbRHGjgu7dd2CYQ5SsrOVqlkuLgiwVwbPPLg+1BpQcwpoz6YmhJfK7swXrxTDN97O1lMkfT+T57
zV+mg1Vt3lE6oTVcm2Iv/L2x6o+hgOhwywf8MXUsZTVp4IZqLdIw3qS48XsrcGW2+hBD7RQuoT8d
ljEUmduHdpEGoSm8tJ3UdAbs8bpjPsi5GNIukKN/37VqjNO4zZsPzlp4r6DV//JZwvQ/+oUiImlt
9wxrOHoKyWwPxZCvh8Gl+I+SNrKPLWXisbGCvMioxpf3bd77D410xymVJpLO/Wy67n4btrC6inXn
/aWH5S/q0SlJh7AE6nfKvImzabKHPh2nahnvpQK92Fanfy+rjmq04/wqnuCk5cZNK79Zt/UsvWiI
AnhIVl7kN7onajxQ1Tun70nC/8+nLtrNr/+07fmPXmoXvbh7p/z/KRB+yabeiNP+mVTxez9SqjD8
L1IpL0TPgxQHciQpzSWlIsn6r8Bx8QFJPMCtcJdk/MioIgeZl3/JwP6ZTjnIJOFXQ5NF5kCh4Eb/
p3Tq5675fkWMX5IQnlgU4g/zVlTTOJVpnbkO/gazGcbk6CqfXZXZaiq31yAYVf3Ztwzd7lav/eqz
4JcAUrfV5faXojV+a2Wdu9TRDX3+daQBarX6PCey6e+bQCprBWRcgh3HH6qlO1hhCFaRFVAUnL+j
pVvH9xy+UfOZnFPlXz1JjfZQhFARvVQ6VCRN5tMHkO+EYw9zeyiawOyqgDmQ8s6JVs0tF1I6660r
vbb6t9VPezfnH1P6o5T4p+zpZ+4Eaa6NnxGKFbjXTJ9rv+FORI4sRxGK+O+cAFrp8yD9xj8TW3oT
nbceHGnOtlIh46aoKt38svUunk//y+Xf8JW4PrnzzhDy4LGGMBzeMBvoRsSEr7D8Vjm1RzLJkRJ4
4FKJa+nqZMAJDSehGAofZpZvbap9pC5eezdz/C2cvRsSqLavST21Z8DOgljzs9+P0c9ZOYIEWM74
POwcYJ+U+i37goTQcqEqWN9Cy0xQaIstKiJ9opk8IEtozRCGn+rAzoc/aJrezM1+XZ/igqacDWHO
e3tdxYkadZYXfytW1lwIDq+a/i/h525bUN2WY/muzfFMQ50jOswQ/kQ7+akY2R872oU4MbRESOXs
oZ9JJ0UwlZa9CO+bFTWR9rJghurzmY3EsdWBYTQPpeV0zr1X63V8rnvbphOEOVnDoPx+An7m2nAn
HHQ+gCKSFrRxv/DIOEJIHmFtfM2TrQ3MVaeVzGkRkzEl69Uam4VZ+f0lf6au7Q8fo6DxUaLYcIuS
t6RvEYm8qVbbfPPDmV1+Wp1wc+pTYOYRxQBsUD/8ZEZGXac9qobwU2evk0mOU0nncf7DQnDeRDIG
gDSRXcJGhfLtxW/qwiLZqiBRg/VFlBy31hkVyr4h5NIJXNnGuYKEnpWyX12VAt573FVQ2mIkGQ6r
NWstx7TPiaQJ3R500Bn3PbBi23/5/Zjt7LH/4Xb6EVxo2/dtP3AiYvgv6oNxzmPYSdvyZQGPZhHY
Y20zWPYye4GVLsabrGfl1nrfNMPc7S8lja3/62BR5VOKe2gg6PwAGbwJabF2+2Htw+5LC8pKDK+I
Xhud0NUe1uDWywPifl+Mpv4sqwC4PDPAxU5wpjdpTZBpBNF2j/xQzunOlFsz3foIGakbfj9czts1
5nxXRkK+jV1mGALgzxts8eZWJTAmvvS5G1okrkOvmvFRb0Op2mzWq+bmrEhO/KxbtezWQ1xvq/U8
K5Vf94lpaNgiMbDXW6rzdsjTNrHDfMjGwLaa96FMig34yksWQqJrVavT3thbAiCQ1WU+0+f9wwP9
LNggUoUOTMZkp2ZD7WWx/vxArMxWT6SgnwAPgypAvRcHLMU8H5PEZM4WWYT2fL1Ez2b0+dn4PZzA
ho350TIPXqhBAr0/b2j/bRR3wXsSNhLwOGjNL8sC8LOXuejUJ2XYRfro9XXs38ONh8rm9RTOOk3y
qdlepVjWNUpprM9aZAT8OXxf6C23zkbSan011tiHD1Sle4JAz0M2yVU9Bvv0dL2XsITWKQqm94pW
w/a6oRyb69Rumv3QKhl9JqhrE8GbHtjf9hrLZWHuPEoqXvrNpnt+UEFPiyeERsFv1UtRkmDo75dP
YhrKcxp3S8VXdCQP3HlptXtuMKhA1p9hlbRanZLJONOz73XbcGdop5u0aaShhLCKXC5nCo25+NhS
E/ivkz05LLIoLsgzJt12pCi/XxtvQzij/53eGu8qWXDqN0vDy9e2cBLVfNoc2UO4WcDYFaK1ruqg
mYx6JlD8/opvo5ELE9RGwbpnpZzdb6/YG7sXs/Tmj9427osRTeEe/tye8h4K5aSD8FNeeRuLcHbH
oS/uoeZGrNPf38aODv4UFeEe01Dm4EK9i8r7FxE0bR4N+1C+Sr+Vg5cO3RhYf3daaKKRAApyjqgr
uvJxgh5ExFEi6GjmxYM7AfBH0dxM6eAW+rbJ4/AZxRPQRNrPTjihzrPsMtMBrYBbFhE6iAruPk0N
H6nAvtmFzTrsJkF2cZ1X9bDv/AlN7Dt0uJFC/Vobb5mufv/Eb+MaojCgS7yXkCoDsv4imKpBvtpZ
99HLNLY2SWxgjEsSO237uoVP6/tn4cwLy3YB5uRlb+HsoS5U+5KmGJ7d/Dlfwv1NV5ebNOdSud4e
IjXtDyClZlJ9CdVurdl1+Sz3nNpZY8nujBzNNvr9I72R1EKjR4jGsUlUYwZh4r4J1dpr5dZVrfsS
D8Jjbw2q2G9gsLxx37rf9zHWLyv3lotl3+LEyj2kGPjW9WdLOKTxzhLsb3W67uvPTVJF/rmcm30c
9Dp34UOuFz5VIuvia9ZChv2ptiLjnRRSJ6/PVs4LHvcPj/Ymy+TREgfxh8NWAX8m3/s5aA9L7UTN
2K0vXjHtkWowmqW1NVvZfR3suHYhnw2d3l4jt93PR2l1kBdo6cgGmt4mQ2coTolnjfMLWaphOOao
8lh9yDmIJi1tPJaYPzdqj24jYfNcumomrA1kJFywHHKbf1FjOQyFLHyGYgB8tYYM4XTFlhCJW/Gv
y/jsobD+A4P8zR5FUI9glvML3TFOVr+kus68+SFNWOvDJKOO6HBJb10RL1OdUVmKov1TWHhzHO2X
BOwHiOVYspGBv8lS0FGRQqol+tCPMJI/D+swsKA4+xkfv1J+Fxzz2eqWPg0bb2XAmylvSVkIeozS
bJZmeIzCPs6rUz74McGADTm9N7jbcAJIi40/LC0H1Y9pK+BYMpRLE7fsFXbRPh30Z/eJoJ/u8JKs
VTLtNOSOOwnA7LfXOhz2OvX3Sw4J1c8xkYffDwGCBHJKsqC3lQ3pYG8V9rJ+EGIN6etj3uCpLJ/t
vHoIQd7MetTChAp+IALeSoAy61Lf2M3oLUEK8KatW1NIy7/PpYi8TEPTK77aZWOf53z0wwOcla75
5qOjMu9lB4L9ed6cZn7nT3RUIGpAQt7l1eSPPQD4DCj5YLTIaamG0pbOnWcbJzm0rUmcrFqG0dCg
XmK90V1uJ+MvtOjric0wbWZem3SxgsqvTonrjP5z2AyrX2T24ozzeKWSWTiQYde8GK4HQbOjyaKt
mbeNspalqK6Xes1pi/SqCk+0uAvvEEhr2T6gT3HL19Fvivzg+YPrZCv1aQcToRj6BB6XCxsGb4Hi
jMJpOMDTm7fbHCTPvnJmR7gnfA1iYR9V3Un/ZQ2morZeks5elg/LsHjDvdUPrfWeEyMavyH1Cs3L
Fk0F2lrVdY7onxL6nvVVXoJunLbOjyVdn7rzXJFFZtvbP46s4vabcFU3LQeWyqr/TsZhnu2sbuCH
VWeYXDqID9QBQRNe5dKqwwe6c1ZdX02hcvtG/C3i1hsY5cXxYuPfwx+eWNKbY6DQPHmhPYTAj62v
VHQ9Jnkpmjs4NLUujtVUDPN0NwNKluUp9+U8Bu/z1vX0dVhBXY9PrJUQrrGaNptjvenjck7SwqKH
NhxEbrZqvZ6L3hLl1VwiVOjQfs8+AXZS5Rj81VljGPTXLI7ZyrPZI21xHkZF1gWouXp0rN41yFF4
GS5vWmXZ8DNIrD6X27re11+2UScupK3QqMLd6SNWFGVrFdQj4uUWfQQgrz/t56IN/ZHHKbyAQ+Xz
kq80G7MqEDT3361wDlT0WOVWNTenqPYsV13XI92V6V1YeUGZpDpJdkwiMkMg6tcIIqy13fp+gznB
EbEXIfueqK1FcGt5uYmaO6fUpdM8VtVcxflxrggEBZRtx+PeCVn7La2T1dDftguxlvpgq7oysCMG
2wrav9zCbbmerOAuvYwQiDEmoA5mZOH8lZwgmROK/Uu4f1KWVIP4U6T7sJX3wkA4NANPMFH2EfOa
oeal68VgPbcy2kO+Pw1FHGXQyDoWAN1/egSQiSWfU5dHFdAXGD5dQc6NOEv6nKs1wqHIpEm0T4+j
fOEG/3KaZR/nluYAWJI1WoapsBC/CP9vrSloNPrgkkwrm2MHXjAGBCIYLWbQH/X4OlQoolvGyxJb
dyXGzXeW+7iK9lsumWm1PYesLK7g8SP9JbeWfYGFxtpnPlgt3msSuQ/NNGE2CgkJduzMPUy4uvKM
P57HGM/TXwDcBO8Fi+rC5zrw88TL/DkBAEpVJBzG4sfqybc+4SujytofLh/W74OBmI35+5HjJvA7
9n95fVDfIy0w1vOPobYuH//PIF8+B1Lg1veRqyQ34LSWmL7UZahKc1VCkuGhNUwIrlW4XlHazxTg
RZekwWWium0aWGpU3qMprpHxrHmQOjUCS1rXcuwYJbhMDR9x6RVyV8AccHnT2l73pLeQaEbZo1Fh
6y/JZQQ7xQ4irl2eSbiIHvD/6FCuOOcV6SS/Zl+m9rI8wrym73YM/ZLfOAZwrPjGJVwF67RwzH4Z
4YuQN9dO25F4gRXjj8MNT+rtw3tZSNu44mVw5CH3b3FK0/N7mCB4rK5+EPutXwbU2uaNf3SN1/kR
aqWgravrDSuDRV0VO6JlH+dyhKR2B696Rz76mfnFSMDVX5ywaFk+yHbk/vBmItl914Nl71/oTvuL
PxUxL01r79tBbsF+/+0YIsp/GZsCVh89RLr6z0J7TuGd636NnOEWluO+VmDGJEN09WPIk2oy3A4e
JTVfwgnQcfFKlTXn/OToLbRfyNyqeDoobQ1tmdl9kXPxoBKYdx6GRoFtIhrZkRumSYzXUVfs23nk
fOW9eh3DKj7VJIvLeoNbVrN058HvdqJSk/iNnNK8p/V5Dc9+5PNi0D0vJI1B8yD1yP9XCYnqU2DP
DlCRBstvHqZ6yAEFZlNxdUcU3fQaIpKhCsjXbV/7M+I8QOLFg1LQpLERzRgfG8kRK4+LhX9Qfx0k
HFXLRztcKuJN0SDsqs8/4GSMAYRBHyYa6t2vq9/j+39WlWA4rrzve0Z3ccOA9flc59urJ/CeGV60
N4s5PMN33h99SYqeIfLUstU8UY0wJTiGG919CAQGzVd7cBa1rxrwqn2JX/BT6IaI6FJndPfnHcrS
5cWwwPm8LoFCrbRsNnDlxHfrNkmBLNZQ3nvKgQJ5CFdnr2FhRfSsqwvIsjlBY/LT2GqTu9dFrhH/
pNsFesuxxAE11IFfg5fmMNdCqIHUTm02QBakDpV1uO+nwZ9LQPiihhE/HLwwh5P40K9EmupErbcP
3lh6O1QAx64Gi6+atuDXzYqbhPo4k57l1s2c98aUDzBYdpCyGznu7hHue+Hw5ANjrflxyStrFadw
VkHTH4AuHJRkESBQ+MkvYOBoVNhzwuRvFmKK/BTSYWdAZZDvY25c47D4LiNZDR1ItFfapTfdzBty
SPhn2zhbz4ZkGlRhUzoJPxFvWV/WrDZGoPLt/Rly1aIuO1Fe7ihVgzvGjgUkspvVpzBZhXa+YPkR
Ng9hqNWan3y36wfr31glVEt+5ETzmiDtG/BvK4sbJzKvIJJoMD/g+VQVxW6i44nl/RyR2+hvyVRO
2v3Y5zHQBH35cZJJZrlbX79u/uj6EDc5HRaKfcfpyCmjKEhGZ2SVyypxs4k3LXjt0Uxnajn8eJLL
XGpVARBnQeCt+2N9DzdQ2ff4l6zFHk3I/vfNi3xr/0T7Hb2nb76/R+vf4hMrNl+85B7ohDxSue+9
jbLJFVu5IFvMH7ZhddSxYqPuuzKR+09+LFlySiJRAjWZH13w8D2cWkVmltV4Ueq4xo4fR4HAsktn
G/rqJ3+FtONez7rdd3lhbTsc2NMn4sUnLRuu9Wazvn2b/sMDuOV+53VJp/HTjwsFJuFI0ywV6/lS
sbVltUU1EkM1+k/1JWDVF6BRx84ORlvYoez3aELjQx4ppMacRehwtJ5HtHY88zDTxZtuSrfY0zjh
L1wjmpr9tsbvG87qas6RNA/GfZMrd28zHtp52ddklG9QouAY9q2UR1E17MbTZUDAgfegV2Mozvf6
vWNVt8L1GsR+vy+v3hT0YDnEB1awS3ALnV9gZTHQQwCvdp9F14XcdVQUC7thp1ciI/D3HdRMAC8C
lare7/33l98L1390AfbLh3vjxL78qYG38Duy486a+wio6hIaKzBg7oI6gJ30+0u9AdDZTRDybK4F
ZMX/w72s/4eJzBzXOs5JJf+zRux6gVSuVe4jx0roWRGRQ7FP6lhWzDAyZZ8p+xEcf38vP0MIOA+y
fnaDoHj30mCduz/fSz55sKXYes8JXbXwUxk4ez7e9/zBhePWkTr/aZx/vSAedgAHYYzHG3P9BlGF
NW3jw2ejP1paDoqi5sS/jtaaMPdjZ//+Ad8a3vCEYLdYZjkuZjO0o95ccGkqv2iHJnz/I2LMYttB
+zX01iA4LX4fT6dK5Zt5GmdvrQ5ybPd47hlCg9VvPufRH+7o55XOmFNK7X4aXpTgeEGr7ucxXxPb
mqPV0++by6aayevY48tYoxQ6lfFUMgXCH1d2ZoJymDvQFsRjJJDK0+OWTZrK/hRIrws4ygktmCRp
pfk4+yN3HsrVo57M5ks/S13C7O8f4u00MnE+zqb4EALJOr+4OnLu6gEO4vSAUcYemWBuMYOqD9rx
abXi0f+DQ8j/dr1gd9nb/8N14s2YRYhEmGB7fPhx7C0FxM7U7oisXWqQx/yfoDWcTpx4d5FkY/Dn
KzDueYNzeXMOEj2V1cPlWCJJ3mcjqhv2RdsjBv6Tpc3P8Qd8FocLFupOSqFty79/XhTzui2l2YL6
HEGOq4MskjLyPoWGDfOnLfjrpZi63aow9qn0kc/9fCmZu3Idi7A4X1KRCacvYs3iasnL75fJGzM0
vh2GRkIzfv8jIEmIW8bP12rtQeTVopKvNhz0/2wrN6z3VNF4ci8n53iCrm5L37jIpkxDpyNtSEX7
bPCQDr9Us00Q/MN9XSgi/xPwMe9zGYIE4s53wsAvpiK2Tb8oKkV/ZTbXFv3RDZadJTHiOzR2/+63
lkZ71vWo4PokhclKFZsOQTE4KOoTCWkUUlmtQKTuXB9MxH6UeYCW9bySswTdQ76UtbOsWe7SCvvY
ay0pzww+Eq0+ymbc3CGzOzvs5SE2ARDgnYdbnBc+Jpc+I16Yk+W9y1vp6OW+LsSUQOUZp7B0wGoq
KCRnCqColJAiK8iKhx+JU2TxawIZy7wvUSqHmEMs/B5eLyVQ/X00ZyFdjhRK1j09mSfXItHu3Jj6
pd3FHM+kfuEYPXh9syeZ1iXnUjRtmTdbxQ4S+7ofUGKmbW+SFpm+ippqRG12gWI0x7nAxeR7gvU9
s6PjNzO+m4735CLSE4gXNU8dukfcMbmkrKl2phubLgqM52aRPXUefYamal480vHEewhXhIbqugox
kACk6Cf8Q7L1Uh8m89p7+iDqUQIHgwxFdD+wQRjiLs8s/ENnW6YaKn3gPiY6UdF8LHToB/pDsGJi
3H2gD7J32shNbTd8wO2C5saHUoGCFwfWOTSHkzDacSoEqCTD/14pifv4JgiX2f3kBMs6QPOTc66e
2gTbJPdYtcg3qNAJaMuQ4RtNjx+N9srcHubF3U1JbQvEZMpIGZ0ghiS55vNdjYQVjR1t8rmkyk9i
Q7+2FLhd+XYzzF9CW9arOOSQVNs2lVErzV8tiJA1pvGlFfgjRmr69EV4F0vOk+qEQD1E8PQj/wOQ
3/PXtR32w/CyNJrvWWobYSFGpp/A1FHpZOwQK0vTF13Ebbg1HkNzbU3JBw6XLn5WbWI1J1liMJQK
BM7PwVoG1QGHhfyq9CfvXNredo1qdDqDsHTvIxNiWItA8yEqhwZpij+ZDzmL+uwXEJ5Tdp/4UhnV
/FXYZXdYEgdHsbjxcIUFgc1mtw1uY2V/6mq2Yzur8C6cS3WIfCGYXdsyJ7Rx/rHqyvHdVjX4N1Et
DMd4hejKig3lV6HGZxdd7a3xreJWTv1wDHqgcQgyxXnqxuQgkjl+ipTQ8A1U+a3s8aRohCqQ1rXt
IcgTfRNvrjxh/EB3ulUBivQ6XluM59roNPOV1zF14hdUfeMVfIz8m04wzagXp8G7NKmCk6js7lnh
l7ylDdBRnyKVK17mZYs/N1aL9Msb5Yc5dsuj7Q42hGYcX9IOO9k7H/jwZIYed4sqyp8ANUt4VIOX
fHNoQVFnOcp5P7mVKE9YwFhHp5fD+37yAUIIBYd+XcYbrzdrnQZyjjMMU3IR/1VObrJew4wYv/au
XznHblRY9RTIztd0QvPxdzwEkTxYuWVuZAJN4uA7Q/W0TF5N/Sa726AfMCLJY9F9tqte3S2Rb9/2
obOv0HyX8fvFNN8spNn3dlRP16Dy1k2Jo597iIl+35x59toU9jVecQN8x4+z0vPf2rKWzC2d7TMW
Mp0L00FBa9y2npUrGrShMLkMZkDbXC834YhncWo7qnxYnYhATKmXTbPXeDcYijfqxizanFw1urdB
I5cUBPo1mNeveAznD77D9pn6cTgAedrYHS9yig7B2nlHPxraByV883FVC7miTdu9gA9cw81A11sW
gUqt0fM/0zHvUs9tYI4DYKSuLYenBdfmp14g1svqYShetFj1X2ZR0k31Mi4ZjpKqSivuj05wDBbI
xlvElvlLPD8mbi/Qlm0TtGyptpTmk3zlTzfpVKnJeUpoblwr18TZiGfBjV+2/uc+Dpe7ij7ERDvE
H7loPqT5aGkq5bG4C2MLL+fGqZPPxiLZOsTkjShmq14/hnNYnwj0uIsl5RadB6cTj/CH4JzMwry4
kLGxWV6cq0pN4Wc8kF5m6veXTcstvtKox9NKy+LvlQG5EghExyPp6fqMF3CAgsHXdJJrmN22mNDq
J7W60uTHTlpEffKS4Er1xVuU9wEHj+7LtOGpN7LAUY927r0P4QGNXOge9KKHZ/JeCzldO91ZWCh9
2uyuvfIaHCGyFpj7AUtgn7NsISLZVRmDU+FYcY5oGGWqb6urOhjNC5wzj/uf3BsMerxTFXr9R/BC
/Zi0AofItUmepTTbbdFXGOpEhFzKc1k+tL493JjRnx9bXJI+GOy9vnr1RHBw9To9+Ktk84C1vXO8
YbxdTDRfl/OCu0w3xu1Vjkj/QNkO8xM4JrneLJPf5bkwT5sbi5cYSOej3mL8ZwpRnNls0f3mWAPc
qrA8NUke3NF5d7xskBg2xzh0eKx3054QaHSPNa2Bx2LplM5grNgnM1f6oxpGv6Do37Y7/NfHWwhU
CFws2X0ovC2RxGy5HL2ojs8OvchsQhTwLp4Kj46Bsb5ZuQs37m4NsJJNslUu5OB4pAC1x3d14E3R
cLT5w6ENusJE5XezpYpH0B+8V/21fW0G85nfKQCgS+e1l2Qw1RhVD0tSQQvFIai8STrlfhqtHMVI
I2Ybj71ofCndadJXwm08P0uEE936eWfiU2LLNrmRIlYH+stYMk304Q94IssIYdGA3El6efvQWfAQ
bvGmihjr0J4Hc6eTiQaUsxhnvm59Ld95i289RW1SqixcjOiOIlHmfVWUkzzSil7FrSzrrjxYpg1g
aua5Y11FU99v79cYg35xtace9iHRC38Ip2bUOjTNNzVYgWkyJyJzydAv5NM9KA7CKG90ig9ztHVr
1tlNeAeNMEco65Ai3g4ABMNrUFKVGuKIUUOA/YVdYA2Rn6chjG7Qetlt9WHz1tzFBGjRdjLe8Nce
tH0d45i1XukGs6+DmPpgfE6soq5gBhVNYlKDAKGpM8tPlufSg82TusJvnrrVsbarmQIY729sc+w7
PFSwfXAN/YX7qCGcHiDuoTMBcbup3AELMSeqbwZrXXqU7asVJhsOBrLFpe4AfiTrnT2m3EC+Gwa/
iofDGlZhg9577Dv2Q0zbNRud1ZVH3xkbcVcLusapbIGfs21YNPYicqUhFY1VfcZcLOiOxRzM93UJ
fHuolnI5e4XvxIcwtgUS6rAyznVdGEWbdAyiNXVnuvLh4A4PCL2WKJNV7vPHL3xE+9kKlvjqKMt8
mxJSE88o7K66Lne8YzEJd3QzUjhhdRmcAShySApF+H61/C4iMRvjtWwyIunABzrbKpfyK0FIx+FR
KHyxg0I7mCjj+eBE4qjcpQuCe8eawvGFJrPMz5WO/c/FNH1CVlu8FEJ9KhIVVCllgnye4Zwc8zg3
VzaHh02QCA1tuWi7bVa3eTBeOZ4mYRCUa4U+LYI+qlIpA/ls2iY8GINV7xiXPvF1GuTXoci3U9Rh
vKrR4t/T+YztzFn6WR82Dhv/MemFhxzQGIMjGBgU64EFk8LTm785naqflEbbduzxDbrru7bDgqIf
MHdb8KS8Bs0usJyUS3ItuwpZV6ubU63z4LmtbeeYDKK7rXO8+Nx68W9dRTO1K3qa6gll0cF18+lz
O0YjyibXxRo24hA+oETU/VE5IUq1Op6Ha2XmHJHm/N/sndly5Ea2ZX+lfwBlmIdXIGYGg2SQySTz
BUYmU5gBh2Ny4OvvgjLVpcxbpTJ1v7RZ3xeZZCIZEQjA/fg5e6+NmbktEjw0bjeKMDAqbE4NQs3h
2Ll8uO1M8/1xiQn+jJnHtytKeNxIHkpo0nMhL+zybP6ZW8ALyakveAvxlV0HpJwXuNFQi/Q5zxLj
Cx1BtUNMFGD3CqqdJ7z8XgMtE+EVTF/0uvpU5ijUEg5uOw/o7GszmX0TwuhrXi09lqfBtGJs8FLl
PqawwT6Bq+NDJzqd90yNEYdw6y7nWHIaYQl+LVLL+1LEifECMnc6j0yUN45om6NFK/uZoYCJ4StY
lAgB3LS3LhEd1K0sjutNaH+1IVPAKqmrdddWZvfewPHItsAQGdDS5G7cY+3UWRN1MlM9M7CloYnp
TbkRWSXrSOhqWe7clqIz3/GJgsk3S95DiH0w9aOCvwvZCSgbXkjhHCuwiN6GI/wIRUFj+z7Bw+o/
C05taVQIy9K/sPFOEAk1f8LB1Rfuphe5dshax/y06hl2BqS1AYIDgBfQG/n7MJJ6wIqkqV0zxKi0
mtixzowU5Y2YEbtgG6akOatuEO+F2atsRfJR2GZjqb72AN7knoeSc9oA9cH+GJmmjSGTwnFb56N1
onkO9HTK1EIxj5z1m420Nd5VXtrf2KDXOMtSjvSbMm41Z6u1FVpkfRmd574ry1dPjCoqOqvblLrW
6pdh8oxHpn5+gFqJGi50+ykt9xNF1YnVr562qk1xQbYqoPREXaI1FyudQMQOEDyAvFW6I7YS63IS
opThJorstEpzuxjx9bqMeKpiZcL0MUAgjrFgK0BdmNTUVh0vL3U31MWd2RhTt+FUERcsaQFxGCKS
xpCU817Tzby279zBiv2wMNrMeiuhtWp1NIJ4yOMdg7xC6bdF2rhNEHHaVjbA7SWtOlhkbLjOvEmZ
q/llOKAyt+dNDRmyKm5mHySaHnUDBzBxX450rUhcQH4eDDs5iDZ7SRLonslm4lFhvINLyMJBOoKS
czFVUqvVxyEdtOq3ru3U6GxTdFlVvXVaZoCPsW4yE9oLBFwYk+Vsa3p+nw+i4HuwNWRcQ47CmtnE
iPyej/+t0gLsfFJ0eT1v4HIq58WRjpk+fm8ia2IdhPQlmOZHzTRiJW7wv6+SAnQM63yG53DxPhI7
1pW7R++98Ly1Rhdkr4OYUg1YqE8DTuNkG+eTyxbBctw/DykNBf/cU1Cqi54H+mxHQ9INbbFfmLrx
bbHl4QJ8twAujNWGoI1hrm+sgY+3hITRm2YXIcaxqvjR6h2RwYVEQJtZJ30Y2rlBH5X11DicHZJ2
B3ciZz3W+mZToI66NRGZUbqLgBVzDkBF9r69z3qvmmdBd3ikw5tFSL0G8JTbpFZ2Vm4F+SkNVEZZ
N/55ofTztzGu3pjp3BgHwMSI9wnsrTcvlr1nHlk9C38oP2mofvrQbDDFhfbAs7NFBVN96HVBlYUq
P5XFtnG7ACizRD+jwsVsGYou7jD/rv4/BfDx7h1Uuwf609m50WMrKkx3uM2Nea62wqoQkY0BA2qh
lY95oCbviC8SsolVixmMaT0V9V72OupK5YsJEqk+Fh8CjFHB0rryNGDNAIDurWW+dpk2KQoErdxS
gXJCJNPHcfYA4ftqE1e+eofrpmYRGsnUGle/yApnM2V1/VXqDNbDLh85GtSLNnIakbmRbiknZHcY
UqcYPxINRL8WUVGbdbQUabLDPwataVcNho9oyGyDlQpkQ3e0QQwejK7xXksYUzQsvdiEkkhDMXM4
oXpzd6lAww8bU3eG/gVJBnKOUArUfxFak3akQDJM9E40ty4JJ+8qtFvq8FvFIFBBEyy8rVe45UnD
8o3EfnAwfaD5ExWSEnMeuo1fOwGjMq1P9/gp+GI8lWihhebv0IqyzaOBhtn7gpCCeyMOHgZNb/ic
i4BRKdT9zJe9sYPYD7Y5mo9vGqIqmoe5SM4ay3D3hcPllD54OXZZqi7SWw5UMO5J4ubN3lkirXlv
jXZ+JRgkvkW+mXwk0uDKA8NSyOjigc4IJnC4UZk+ffKVM9xPskz5CNjrmFp7VcNq6lWYKAonuBq0
D71NkDfT0aBpQe4Lmp3Pk4VfOXKKzj5AHYPpNknnEfx8s+vNWn9xZWcQ9oI+EqbggnOgW+YQX9Z8
wetpZhtz6EimCcsa4X6QjcF4TFyJag4nNTLVJJ4UbxfgAJINTsORqL3Z3DG5Yv4LViPrNslojSy9
sHHowvQw78EZJF1LUQAx9tYaxHBOoCn7G91JhLdDoCGeJuX1qKH7mk+JSsH7AmrYT8KKAvyu1daK
t/Ntvw6pqecsdIs4QCZTtFkKm9fPUYTRLrlfKjoA4eIK4W6LEeHfxtKrbLu0it9JHGR+yFkquGGW
+G3q0pqIn05FU+/Mrx6rxXij+lqKTdmOMFJhxQy8nOO0HAgyukCV2dxaZWze+GlZeMiXYlCZ0ogD
WI+p+T6XWXFSmuju0RDmEdo08w23zlAz//CCOcLgjv/Zm+xs3gzTnHdhKf0+3g5p5pesv9Iqb3LD
nJ1d707OM9guoS50rgqLZkBTEciElXqFgSZzWCEQuTQoX/StNzkzh4LAxG0B48mpcJznoHocJaeI
fZOqjvp8k1qy9dfr5t5N1kQb2jKb+OKXFSZu1B9JOA7lqwW56kXCYQ1TEq+vHkpPBFzJyC1fytdE
mzCgF53SIo3K41YO2I46+i6QHgftKHMe6hXz7N31Q9+ceqfFgyK94kxfwDtose4/0zHOPG6DxH0X
JuZ4taIHRjmbx6IDZBrloz+t1ZpeIempafF4XecfOnIs3M0SaBROFQwl8GrmWF5x8WYbSXNrI7nV
bYjYzrClfDFu6rkBZZVPxksKROAFepgRim7QsXQ6xbbyy/g35M76xnbs/pNPub837Nh4b1DGv+j8
igNJjQuHFeEFL5B/qxAf7MXY89T5wxvC6f5eDPoch34PNZPnYLkPEg1/vTSgiLIfyJpjRmdtfA/R
DL99nlpTfs5pdmx8xUGlJb0QjiyYg2fNL+3HPIWBFEH/1o5C1AYjOhSghWV9nQe6/3JbCPpB8p0N
qqhAO/r4bLwXTrRNJa7S7hrbuesBQ7PKQ9pYNVOyxZeNeEHNedUya2AQ2tzZMxKfeT+ZeEjMjdXo
qk+h8KZVvhwRmM/9pzhTk/PVqe2mOOSNX/V2FIMi77WNPzr2JFm8ClQ2zNrQbeSBkbn6BkGgsVA2
+vqcRbJwpa6Ow6zoYoauqWAlAm3wv7g1VAjIhAIYYsk65qS6A92iRj+x0WY3SRDakLMyIpOmjEft
NePR5qFBXm87SFRT0XzTibhZgR609T00iGKai5UGkiUFKiaRxKu4nXuwZQyS5Mmitw+j5fccYTJL
uVI+N9BqxnzDgNjn3IeVKVP5Jc+bbmg23eQScrDVhTV07ftQLKMxh/yVNVBnamxKsnARKSvDAfqE
A7OHjvX6SWw30YNynyYKBMnnQUsWE8507Bf8PzT6nqtuAFtxYL7J5y4uXYCPAdyX3V+P536ekDM1
RAGiMzpcnbwMYH9F49Mq83sd98K3qhGrt2n8rnGxnFoyKO+81B6QpI26Iv4nzXJGdP/hDfw8bl7f
AEIBzLsw7ZkSMhT6eWyZOTPeqCTzPorvbwCU2Ko8qQqgh5TdDXOx75PSv0Vz+HdQqz8zrf6vEFr/
D9KxUMCsPKm/4Dn0b+mf8Q8/fuEPNpZO1LGjA8DSXcMxeXr+ADlohmH/Q3fxoCPs+B2OxV32BxvL
JB/ZYMa/RrYyqv09stUjslVfNQ34gD1/BTz8gf36QQT4y1zWX4bsAH8Djr8WQhdcSoH7q+ykYUlM
m9mfb7HKaksR+ZOY513lTsFzVYF+BddeoORIEnHTOcBzKZSzvcpcirIWJpvEG0IPpVGci/CiVZmh
rimo4Hu2yk63wqZU61MJHlQfxuVQVa4dT1fNg0lHqy0Y/cD+hDEEudthYNSL+WIaqVj0MtYQNuP+
PDUyl10Q4XVp/N8s4c3ZcJjWbgj1kTdAPjnGntLyE9EO7fjIvEG3H7Freoxr0adz5MjZJ264lrYF
4ylWkc7LUhMJ3UUXjfMvBMw391d2nAqvd5kBq61Smv5slNFUu/FTTTX0tIBOgLJNUlq5DNo7g+kM
ALEt0UxzUH6gn3bplWyPC0yjXdrEw1tgMJ+RuGLzkAwGepM6+IqASIMS4T2ERbM+MXDOAOCGYMng
TuPsGNsb01sgI0d57atLmhSjdoTDOM2botCS+VGbjWHRNzrd0wRXhnCA7ZqZSof9GOtN3x4MnQU5
g6lajG2hrm6JMP1WAI+q+RaQgUO8/O4I/1srwv+PvDy8fKtR8d+vCMeypFzLuj+vCj9+6Y/QZu8f
bB6s2wYuQVoi6/r9g5gXGESnEzxmkUEXIGtf85z/uSpAyuSQi96HnQe10T8XB3gx+EDInglcspB0
1/w7iwM7OPvHn8QnbGtkQgerFIyTEjqwdQP8kwQwczNMXkaXnlRreFk4icZhCAdyV7Se1tHkN+zN
eip8FEUL2XvN1IkjffQdEqY6bI0HSUc0jvymdE/L4tnxthybVQmt6+qBfkJl740cztlDgXvkc4tw
1WFKYdFQndm0Geub3Xgup8pHQIwiwARUpi82GQKDi+7f9Tht8nQfF2Pp7bDOm2C7oHyS2xENcRpZ
U0M4Qwfii3OW1r4H+ex99TnWbXrK6y2lCrNc2uM95k8fbOCGg7htngOzh3wXVO7thEIyrMbh2kHi
33kd4WHhXI46rVDXyB5Fns8PKtX7C56XCtISIOAtaBoNgLK/zvVqR0+o/nNxLR0xgqqe2i1Q8PkA
Ji84mUJmNwABWU5NCUa9yZqdUzsuBpMUmmw/mQXYNwcmsN175ucyQNOQ4fZ5NExyX4LU/pIA8L5z
mhkv3WJZ94OZy+PYwNpJDfM+dSnRyTzAPTFnbqhoadxbnoaau56ujj4x+ylLlP24JNOv8KzF3ibG
OZKQTG+MqqIh7aqWUwLkFNz6WXLbIT24TGmNQqEfluGsT9vWbJAQCVn9lmOr2I3Eoe46B9BhIr3u
arrBVyeOm40Rg3V2tRSJT8c/gPp+DmwNuYZX1ZEoHVrO8B88DlmPLPbW1VKBumGtn+6zjnJSFGgt
iEt+cxp32iyJuinXjiDzUTYM8ilCvIzaw9io6rGURRXVRdldTKtIo54rEsVB8YBKhZmLKoYo44n9
VKglDu3OVJcZ0fZGKMfcGg7vVMO1v9HHOHlafA9WbIkWZmAxbgL+bJ5LKlUBGS1t9dOsDx8lP3+X
YCJ88MYaRC6wwuDqUQU++Cb9XsT1eRyu2TIXW7N6WBmjti8wiOwXbaivTOhNhiVDfwbZZ9/MTKKE
tOydwW1/2xDo/TpKGhhbre8BlOWpsSFFomxDi17Gpi2KaT/kcbLT2uHGxRaCId29HceuBRrs1gxX
Gj+P/FxpB6tGkowfBj694iwYDjF+X3fpnzVEMUAOr2Rk6buYCeYIKrdr65d5GvJ7Dq93Wg8Ue5YY
Ikv7arR6ua198bUTnneELPaMBJ8sRDowFYq4HXjYfo6qDOUCjuSoXr+p+YMJIdwlgwjFZdA/20PA
2XgO4oOYRu128oNgGw8i2WCuf2Ux7O5MUamd1tH7KIvEOc504J5tV5tImuEYUsWEP2qWyWOlnTyy
gkPASa9A3dvt4FVyD0zHPObdCczHua84O7Y9apaakXjcZZwbAoaXdkVsMCy7aRLZrkCDxYk9765+
bJUPwneSI8mHdMWXwjoiElYPlSqXfd0X5A8JIfdLodxbW44Asa3pSF84LpiSdtPDZNONNWYNRhz8
vsk20poHDKvipD/WuWaXwaY1pJnfo5+yqjOa8Usl/XeKMFwt7hI85RZNU6LHi5XLGN/Plp/doXZ/
w6FpHznYk0iRGW+uGB3UNBwQv3SSj0yIh9igRTJvkrKudjoDTrIfkpLZkF2SiJKW9zPLbpgq1ruy
ASYXefX8ZQGFCt+d9XkcuAezWc1fglmBcK8yvX0k0+Cx1l3qIwaEdxAnSakeg3IQ94kTG0eLjjTp
jfi+RVg6o07fL2+O9MYJUcgQMkP/q4Nrn3u/CayzUWKCRJ7gpYL893FHhprb+6FgWIfszc7I7kOn
ODhI8+g/a4xjCFHxzR71Ugq1msWdbCg1PKdwPgz7MIOKXCcb6cDeorVfCy3HuZvaOUlcKp1M966Q
iPXCHFvxoRj8fDkrW7oPig370ZIxj0gxcesdZT86Lx0+tFO6VHMX9oQcvffc/VlkYFRLI0OLPTuc
kA1eW7KdTHR3ujw1JqHe7Uy3tQ/yGglE2x8ZjCR3mKTKR1A3NOUQZnv7tIi5cYNlSl9Ja+u2I83T
gwGSGGwZbKSQxBw6hcnc23hTJfRNzxZE2ywTgeKj8Hk+rHFkbqEW7UGwtP9Gr5vZIbX8dNsz6b+f
0cPqGw/IswwXo0bgkZMRokKCNIfP9Lfbt1bq2St7MrBPCMq3nbVUdzHuld+gTw00I8vYukIeGD9r
RblcKt07eoZbfqsqy/1wMHJnYZbSLqfBPpbbhLipo0O/oGK1jTrqh3kz01Cr0DxxFQlkTf3nYZyd
c+l25QcTyjw+VQMThhCv4/QQt7b7zD4SbJmpJ7thnk0Gpp4nYjLPcaEdGQeqr0WWBTaLURI/kzo2
3hObSQusmlPtPsvdjphnq5KvJBoVF6sUCV00TPpeZAbVcgyYe3zYfVtc6c8/ll05wYVZ6vhYGAUq
gCLlYWU42N4trQVGu5s6gB8mAVfVdoZwcyuYYb6it5q+oRJrv/g22P1ay5EpaEmQEP/dztpJGvl4
TwgaMG1UatpXW58JuQefD62CgIzDAOpUHjxsRF+CRNVIJpd4OAqjt6ZNnuXtTCO4yj+3zMQBejZW
f83ttQmtKau9uL0ojzxzALcHUxczekuYtLxz4Jie1F/joI/tbZ3hx9jgx3X2Q2lnV+Ym+p5Gt4e6
aKiZ9fl2vmd5zn08SCNU1sL0zvPUtycDDwu9KRtq60hvvsS6Fa5qioiBgr1tdTqvJNYgN0wJAwqN
TjwYQ9dvOscJzqU2DmR8xGR6Ki8Xx86zabpVZS1fC5n3XpglQ2dEcHWalwJeVr3tAbcjBAMt8o1Y
Oes21iexgd38bidp8MlL6+qN8Xuzs9K1j8kSH1f0nYpGi8iBY0VEsKofM+g3t8Fie19GR5YHkQLu
jMzEWaBnWLP17k0yvemRSjwz3qf77VeWssNWjl1YN2BigYbzrxjXEBAReDAzbInbEZ1oarzRaSfS
oXZQPNhx/+AEPYOTHILO67BQQG4TfRq4l/QO3WrtGR9Ba7aoISo30U5+k8cvBHHVn2bQEt3OqlN1
M3TDvB9zutObRaIoQSBfHPOkuNeXIXtpa++SzOOmSauRYARtO/mkstcohh/sPmCW66HjTXA0Zxug
ZOYdwQAAl7G77FuXwiJ05Gi/EzEPkM5uRPJc2wxw1pE6STyGZhlzZHSZTupFkly63ly2EwmOR5Mu
8R6TSL9ZhFXuBl0fzoaWbt1BVt/S3KRPha/XI0EwkziXupoYY7eXnxLHi99du4l3Y6Pj9ufbXLqI
tuhwm5qqOCaUWWR6xQ6Cj0wmhHoxb80/BIKJOpTrP4SWliwt1nTbkIL4uYxV+ZQxq9vrmQPzyYiH
sxRIrbjBXf8GgnYQJTo1InhV5Ktk/+1q2Q4HPwvoC9RmUrxg+iHfJo0njvFp5tDLF8J0t228LDeF
ZojTBA//zCcskbxn2dd4yXqkv9BxK9Ey0A6s+tiWgCDMYvksZjUNkWEa8i2xWu+ecbj2jZO7/J9T
8ndk6XcK6ttHldWbrCNi52v/5wOvaXIW/atT8uXbu3yDyPMvfunHKTlw/mFBLWIqgLIXy8n6936c
kmnm0FZDAMpBeZ100Sb745Bs0SbDPoRhbE31dFZHx48OGqfcv9Exw47186GYczcnc+jXARhDF2fU
L74UcMIaQ4h0PFvVQivpdikk/AR6XHabz/WZOCZ7FtUxG2P4G4PG2ZXJ7vTk+NI9duRyPJYVjXDC
uCzzlo3EJeyqc88KGyqReKVGWgg6mpE9Tmo7lG3Di91V1UX6qOM3CKCHXdD72cVUPsNrh8DdEAQH
3S6YIugIHOvSY/dHMU2SKbt+hd5Sr+/BhgzXoHZpsWVzUjxLInxOtib9AemCW7/o7RQ/D3qqoff1
mwC0ql9dpdk/uzDxjuzzao9yLLl3wWFdccbJq0qseGdxCL9bSODcapPVnwoRsIswD45G11BbUii8
juZXWz7hEFRvnle1ZBw2cRIylFf3bcvUDpZN+rmtigGEdpOzNSSjuQtSz0AA1qZXR7n5dtSpBeDB
1+osk8k8+233qSqzPgkNGhgSnIVlRrollicGf0WkG+qdvqXswnUgetC1MTu3WZ0TOQH47QszoIlj
Ad8hwTp5dUESlO4YTS8neoCkv6SzlWzKEUxDDsbCDwGDZPdmQECNViZ3JKblOy9XZCKmwJM7gg0O
Oh26s0rr4QwLMrukRuX6YV9N8yPRlAO5f0ER9W5h3sHS7A6z2da3VDTTmSD5+YAZwnrLAcmdmOz0
yOrMkoSMQiu2tSnQ8sjU9I+VYMVdOH/taMRoG0jT9YPW69YjMJz+1QrM8rfZ7PQncxzwuBSqvqs6
R8O47e0SR+9fuFYUEshQgntkQtWLJbNxZ/gCa21vglKoC5SWmGa2miXVRzt13R0HtuYMnUdFgYWV
lbCWmUor0ILgq2XlbBitNFiStYXTJcmoabElVCh9qLtRR4DENGyLRGcJK70Zdz6ZiCG93rfRHP2b
ehiJC7QccbEZgSJy05lYmssQgehG5GaAtNoSKZufxQLMrEyEf9BHSlIq7fxeFyRLZUWy3BXkDgnK
3Vj7SglFCRonHa6jdnJLRuWeM9zUmeuxfqUpEn4OYghc8k2ulc5LZlT6Z6Rw6ozWjuxsOEW3mScc
gm3YIh4k86RX0g2YKWmlUDcEyyZPgV04d35Lt8Ffw8xGr77P9K6/mogzt6iMezSO41JU3JO1BxUf
BySOB+VsyL3CKtZNNYGBGdr5I6lZ7MiBIY8O82h8Iy20XYaGKO1DF1D9M8uIuJ8JbjrUSatjF6+c
baYJ/RZGSc2pfxQi8gAZbCUy/Tts1smdTG0iilvX+lJmdIpCnm31uYuxhK/D0/nRdQsrocwpte2C
lOTguHF1GhYmgSDHvIkzoNY6VLpi1u/AxBtGBIemqC5a4SfPngHxkE5FE5Mc1LYxK0kmls1SNR+l
gbM1HNxK3VoLoh++GicrNjl0m+eEAwqKDZqfcVRqiUJHZORNRL5Va+6UahfSMnyhHsxSNz7LLibw
CTWHFMB/XTT56hazka9oZlsJ50NzJ9Gvr+XBNJOJsVX60OmPJC6bs/sp8SrRX3srHcZDwzk5q0+L
MDttiXo/r5TYIEQqpkeZq8T/aicFDL0o9Up9cj5VYz613tYXjlbsNE7C+cfs0eUBXc9XJL8bNv+n
W/6f6gAQkbSw/323/PJt+l+viPB/qgO+/9KPOgCuOfu4CTnY/r1Zvu72P+oAL/iHxwiNGZ3nrvb8
tUT4oxBwmKE5Pj1s1zPWcoDt/H8XArTfwadD6NP97+XD3ygMfp7FOih1GKHRJQc75wSY9H+x/hrE
24+6njRHinooH0WdOHeWJD4THJm/+dOl+THG+zNXnOLl5748r8Xdp3MtAhtf8y9z37HT0Qb6Rn30
EJVclnE2LvlgBc8zV+DctgTj/fXrrX/vpzkAQFfdhlrJtNsM/hshWdJv88ib4vUq1LUgJiBEh7la
DIZeDAmB47rW1lK+AVYtM5/++sV/nrL/fmExOsNQZ6zBHORXy3Gr6Z1qwMAcF9n3H1VJpDjWoNE/
E++hripegufY1P/TR/4Xl9jhajHGBZ0OnmqtAv80+iAVK5eT71VHWRlrlmTaf+D/zZYwyMiWTPT5
b78gg+EVt8ArBrrl/Ir3zVePpYlJ9ZBqMQkaPkEic9ozU/Ut7Qs0J/f1ry+r8d+uq0cAI+WEs4IO
AtP/pY6lkaYvSbw6HhtFpNHgxp15tyytPiI0s/E6I7sz0CoRbwz4wLi2o1M/16Dipih1SS5fLVHe
tZ9Nc6DZ5QxYuUTanQ2a9y+z6f+HuwCaya83oedQzvHs23ybPOy/vN+6gs2bV/1wcDxcFk9aZTrx
TZeUFLpJQ8QfzmVjOuEGm8vVy+MYTzyD81VDRHXAOu26p6yD1FqhGOesB6MkJHWPewk+NIBXLH0X
7KtEgYy6WUJxkaNxqUyU9Sj8HUI2BrMj/k6TGc7S2Vz8HeWCcUFppUk6z3pzQ2SBuho9hW2cBdhB
F0nk8buP6m2GV7aocQtRw8xvpOWoe5dVwt0AUSiCQ66P2ue8TANoE6valQyWHCYqKqxZI3HQxNNt
fOMuXVuzRkYlfcsxfLQfVD1PZ5qgJcNlBzHeGNg26R7rQiDniueUpoe616aepMaixX+n4la8Drkp
XhepW0cXBhSp7OMoXmmYjPd61zGGCdpljZ1CSMzWLZ03nFXqSro0lXE1xuLVoqi5aq1mPDn9mhW7
ZM4btGqzPtZzoF5dBGVDxAkcl2wXO+o62JJPKgp7ok/U8YIUD0SyIieXm8GfnLdy4Dr6y8h1k7bx
NAR8aYvfBs9TuzhvRNSrKzlBwba1JsfazU3W+wzQNTLoOshe1+/3aponRACmVjZRya25iCTPkWZn
O3xYc4Znu+8m8NMo41AvIRaIs+oIWaitekZIgT/QpzLTz+mI7sEXrKebvhg8ta3ImiQaoHbtt6bz
xWuaIEdNWpIHA4Yiz6JEmB+SuMidARRGi2yMbTeSowVFy6qKGIZ5jfN11yQvnm7idpk7VFHSFAuE
KSjpVNSpQap3uoZu4hPms07I/sgebOTh9+tvq97BmuUTKkX8Jyo0jYNeC4v88vvPoF6to2rWc9aN
JT1ofNaH1OvHzZQEwQ5jDDdwuj4eLhhAccCgGsc3qFZ1EY3kK22KVvnB1YI0IaEno3JCfVn6en7p
8f8Jh1Ya2LFHGvWkzjN4VfG4w2kyh7Gl8Qt1mRn6cTJ6b1TIKbQ6ZeDaZ9qe6Vg+bVpg2vEVbZ1T
Mt90aF/V6dDHZxPe0CvEruljxAE3RhNprdn9NGvm9Lnj8qf7rq7HfWeCOg4XvSCpC84AxiboP7BX
Ha5z9ySsOIW6RupqXAfEQ1slGbitOgKCs3eo1K2LwwwgGsfpEDPXuCFSWD250PKiVMSIWaEwXmw8
lxFCLeOl0812IwCmhj1j7TvNTfvrlLYdAb90y7/0wL1s7q9uIoMkyNTN6GmkGftNwjhNNwk01Zvl
4ssh+UAIZ1xcFJcnkjjdi9DrgLTKxZ7PFO8VX7jSkEkv2Pj2tVj6jyBDQrjB1JVkG27u4EQbUhGE
RkpIEBqeFz9b5E5COiO0iWQCcpRk+1YbOBRz5qD2oYV1NvKDFjcdjgBuqblwuo/U4D9C1mV1ZZvj
XjbjOs0OrhazSy8y289dL14do0fpM6dYGbzErxjvj6O6LiqNnxmkGBdhG+J17lZdHfziN9VwHMgd
lwWzMYunHEfE51yCM44CWg9HUMPZPvMs6+gLkuEIGokxTkx+8+SikF0y8mc7PkayM6zKd04O/Izg
89IJ40slNY1BPoo5/0hzf7GmyBCd2jEUkcXJNS3rfUlGx93iFDn908UpyVg9Jn7wRJpc+3/i5AQg
6z2adDk8rGbT0aG5M24s9Pg/WTprs75Tg6mGHRwtEPY/ezttTvQ4zkrb+eHtrD3NfscAy88Ldiz5
CdCoGb8H/sSIhK5H3OwWv+FgQztzsJF4F9qZfsbApauYlS7wO15mz28OmV37d15q6Zucp4oWDIla
0Yx8+pXBFrWI6B0yvKZMiwpj5GuFUyq3WYkslzNtmUi6Rt18nK3cZ/g9sy3giEP4yWzmQy/J+XRi
h+WtcBdumnbgTukS3d8AtFpvpYEkwk2SNsYF9D9raetCaAvzgL8zYrbcu30anLuJryYq4W0zoBly
3pPnw3LMxJpJlhY1t6CyEiLgSgEEJDEL1ns5ysOcjqyDo5N03Z62n3/GC0yYBBCMkiO9yaJleQTh
op/lWXKmttx7zJkOjeSFrXix35Y5Z8H/fQn0UpLHt/DQ1lt/0suUdhfk/RDTDKl2w6DvoVUuYyh7
rfuo0QVgubDoubGzts6bV7I/drTWp03lZOTXwnNllF9CEqBimDmi7L+/LYNwlHLfpgRln2JNY/vy
QCfctKWUh3Ee1H0/UvtWiPQReZT1fDIZRNY48OfK5izr0iuPdBk0r5PZivTOdAjj2mYE6lXRNC68
ZC2z2bvaOCI6dgsXxCMChDRpEYNMvj6CUE2U7Z6GArN3hHVtfoy1xnl1U4OFdZZafp6EVBBP/qWb
114IA2JdpLNWNpp+EkOq/QaOPMBDPTH25z1T5WSaFzybauK28EvJTt4GvfGEiv2/2DuzJbeNbIt+
ERzIBBLDK8GZxapiTVLpBVFSSZjnGV9/Fyg7bMndcnTf146OcLg7WiKJITPPOXuvzfYU1GOebGvs
qkuIcrRcUeSDsCEUbS6vY3LOhlmzVD36yx2NY2ADc5fxxKX4a29BtVI1MJLQ8SSrplz8gI7y9Reh
TTR/uU4cLR+RB2vdY2+BBiw9MsGD0HlIEziybFW0Fw1MG0E1RdspibRA4F7ltBzsyLZQQCU4bqQ6
w/QIF33i+WkWrQHOYbSz8NLizuIMYstQPybYHG5x+/Qe3FmibmijrEdQ7sc0nsszt796QDwRHpI+
1D6OmktINKZV5iKEEJqA8PeBtATyJ1vbpt2g+B2Vtc7JxcUv6mLga3wPStElcFjSjTrotsjyBKJ5
gXOBxsehAOsKlz8VDzmAEyJyWSRWcV9HTEE4kbRWlnwDn6q2Tl/4e3cuMhwdVY89tWgGcvTybwxF
vmnpdOeO5nDgueZg0FX6nduW+p3KmC/1NNWsZsr2Y6dA+WA3fBytbtrGbKLruArxBMJxAxNgnkfZ
5RfuNvtyPqZHdr5sZ9KBxLCDaMXJLMa+6blLsCobXKo7fSqD51Kzute6kMZt0aME8YxA5wA5VrvU
TWFo9tgxxAMnP9weGBi+0W9SRwPhShThLnFjLJ45pgzf2RPX91VVFjfERMdNCJCC4wDeTE9hGU5a
X3oaOzBiM7qGrCCEwhMeHnashm1cnLpKagcs4lV5bpKUhzQLWW0iq+aJnHufe8/AKWROjswjoi2N
/eXXZdRSdfxQGju0Em34YrYUtCB+LvtnICYuO165L2lzcejvEfmv6uXg++vP+Vv1gyBgiQASirLf
pHD7sR6Ff9J2cdGW+zS3WIw72xZPFbNntPAQmU7WYtg8XpfDX3/u30p/PpcBiwJmhmqZSvHHz6Uk
Tw1kFOV+jFPrrdVg5WfNmI7bgRCnelNk+fRgWSFrcUWLLfoHmD19m5+vLvJHqmJecL7Ez1yuqSGY
fsB2vQdETgECfEA+0UQvTkiBWO3pavNPvawpS5aTNwkhLO7XC/C/jt0/dOwMA6HQX56VvyUYPn3N
wfc0X7/+tWX3+5/6Q+AqfiO70KZnY16Hc3+IW3UmeuhJ0ahyLAU3/Ke41bB+sxzBPI8i3xQ87X/O
7QzzNyw2S1C06yjHgE/5n8zxMN78/GwthEcBxU4YcLvpLv34ZNuot7RwUPkB9UsjgMbYfhD3OFGH
gYz5DB7lCgGuHG5aOaFqa6ppLZrR2IF/t/ekBUXwSvwGWK+ywfgibHkaEz3ZEKdG2mBgNYTi1ASR
Btb4kfiYqlpPhjLe3CAXB1nqqde5aqBiCTC6+vY7Vv/2QA5JsFNRHkCQSCpP+GgY57ntdhOtRUzV
Bhzb2R2brQpxeaVoujktkQxrlpXzhukkO6Cjmrd6ZG076AhrHfOJ1wMQuBM1S20OJOJJhoxz2MpM
tiB0GMXHEKXTTvbafGz6FPMse5v1maTcEt9VhjtzlRGjei5qjEpJ3DpMKmf9oRtquc5T+9J3wj0j
ba/WThYEn1hrOfZjEd/Pdtevk6hiBY71elfbfr4fIk67tTFdirKwDzXH6q2lJdNq7npxl9vuMciT
tSrG5F5zfPYfXyYEzwxwpxdnaZdU6pHGRb4ZKlPHD2+aqIDH5tA1swaGZhZHMwm1Y9rk5SaRFeG/
bC7rBorVubIIndtAHyMEm1nok+CEugEPbd8Q16R2ZimyLQguxd/azJdyUWDakeavkk4+WWM2fpmS
zto0A2kZvp00lxkLNtuTlW4t2mdrrRynBzOK7c8dFoMSdR0OyGYnSiPed30gdxyh/ZfeQeLL8Md6
J98qmc7dJONzoID2pMxBQm8c22zjZGm/jkIHAx7uqS2n7mg9waPd0PiWiPFajub0Hj4DFxi+MQtx
tzODUcer/MW4TkMTDPTQpDdTXD6HQHSxsxbTm2YJ7Bj5rPQzhN3+RLaRXBWZzk2O3LDclIGDREv6
zjqcE+fo61Z+Z4i+OLP8Pof4K1tEl2a1d7oiuYxFhfaFtO07mdWcdyqkwqsyNRHbRkLL7H2nddG0
hXrEGdHFPZd4czcOR8Jqt8T8AKafyavDHV46GDuQ2aFVldmCnY/BSJFpsJImCcNeKruMYow9lhNL
YFM7cg6CSJfda5rau4quZQiS+1xb8q1IK9u/qaBHhKdSpB8ssvwIJ1E7X3OEdsCsT7LjLm2NOLHp
lA25+4WSvIo2AbzzO7bt5r7ppJN9cXPqixsz73Dbt92zKkfjnjl5WHcb/KdPpt/EG7fuxAaxpXsc
cJos4rcmnegeWOVDCUI95ow29cG+NO2kfpY435FqKT0h33qNILugMwBJotEoOGKp37FQct0zoEZb
34pzi1018PXXmbYA9MVSC26ryc7sD7qCklhvGqJ8Lvnodv577FcM/aPZXbHCrUJhagQCdsUjT65K
GLhmHRERNNUSunzL4UhHrvjZxkGr7Z281wukfOmgrQqn65L193aUjyrQPA8M2mgL0ClN8CfxpOiT
CMDEt9RzOYbH+7y1zffJNNpkJ+khl3sSVe183WsRw8dW+L67yRVcOqLoA2qJbNSpIoisz6h2U7pl
qMAi7HvmsoknhGTD9mtIfM6CKAbZgxK8uKOQlIVFF7oKjfZE5onS10XRa/SdR4yIOu7Uu5FCYYvY
mP+qp328qhXX2LOAbD0xdZGn2kJIvEqKutI9bMoDcHLDOqNrqw5J5PLeo69fqyQ1iZTqDHuHzz3c
5Xbv7ApoAve5TG/mAO8GFlNVMOJX4cmnA74FVQ+kOjXhD5MKHZXVusMjv2pjSx4du94pDQke7yqa
AxFY0QamoKFtdZtkB6R28caSzQzqZABTaWl5fksJWzw4vU02E2OkVxX7ElWi4Z6QABsrONdiDRMj
2LV1O2O1nrtUX2UYyL9UU/WZPaq+XeYKnMngz0R9xEhW6pX+GMzC39LKdZ4VHbOLSdQzm0OeHlJ6
93cFCWfbVJv0Y0/t8mWWlrqfID41thUcWDr9PTmW+sfEFtEaLJbz2ouKDJ8Wr8A+VtV4smd7PtNi
dVZBhSACZ2j8Cei2OKqqADLGML/VcrAJrT7HHsNZwbi+N8AeTv58T+R3TEvT3TVY3snGKZDQWn23
AxQ271SfKSQH4Pa8uSFXfUiL8M5eLKDrepTOKQLIsHGlgZm1plM+8PmPo4tlVYoIc5f0QcJNweD1
86JLiN1gZ/EDtmWT9OlKDGbI0jibHw2jouZCDFu+9aiNz8Kexde+kxgxUAJvEowLe6upjA84O8qN
dCGJ4GsLtjRr4aWgcr5N9KF6QYZfnTtIk/dKCfeGEhskQ5jHAKTGCFEmIIGkULOnZGrt07n/hDgz
upmAQX7AyqLfAu5y+Usai5NANgM5cQodjJCh3zZjmLVexJt/ryBG7oBV12+OnXtVYyVrZMHtpW7U
CJABgsMhcxv3AvMGv1ucFJ/JnEF5OWb6JpkK/RDqwQe/zi3SRzKdw4NNz0qbjA0gl9pZ6YJKN/f1
jQnZ5qyiSD8ZWrM4yeqA4lgzmKELFNarUbTPGmxBgocaujcrk9YiHnGsOP1oueTl6Ta+eHhUqzyA
Hltl5HNaK1ArIuBv0weHPgQvNSSodeEzO5AjlLbRDGNaR6iF2d3qBOJb3i/ZIoi1Y4dCmd4youmn
xprK6PK/833eRu30T+d7xRz9V+f7D2/ECedBW+Q/HPC//7HfD/ikwf7G+JzqUH0PIqds/UObJ83f
bHg7nO6XOuKPcTw+2GV2t4w4LTR9Bl/hj3G8+k2ZzFxdA9GWaZJd9p+c7/mIv1SOTOOZ2sJaxdhK
NSH/NjWei7nqtKazLlmfZrOXR2OHC6hpcUKRnvjpLxfm/nu5/9d5/I9F8vXDSFVHEIhRzuLn/jQs
DtRoAqZqzUuoTeUrPn75NAGSeUmils3PQsX9GjBaf3P7uN7/Fx9t4AhepuMWF/XHKibSwDe3hTAv
1AV8NJkNxCRPpGJs7M5iz3VGtu9Gr2k+Nj6ZPN+r438bMf7jmHz55bYk3pAYeow6FHU/fbw0oiB3
49S4pMSPRdjz4RJ4Ov6w8hgVy8eNC4Tx1z/5b3mR1w/lUWEWjKrE/jkNIC9zvwtKV15oFMunnC3y
IDOLidpC0n65NsVNQIJ0SURXNzs6J+27VS6YZo1JgldZBVwJO4jHfUNclb+ZZxrKTMoRa/uqB8vY
lz4jwGgmInPFdIKDyZjm9Ll//Tt+bOl8v3YEtzLqlzR18GD/eOucwTE6zHcSfb3Gs4KM/zCmHXHY
TjOKpzSaihO4meb915/6Y0vl9091eT1svOgM/3+6Y5amo15UtbjEy8gg12Z2KDsPv+nxWF2ukgpF
NXSrbBfN3rXR9uvP//uLaRvQEhwEO4uC5ed3pXddADJAhi/fJ7vLCzO5dM+DvhL/kGAhWEx+WgT4
LJc3y9H5QNRiP15hcB1tjhBcXEz4JQ9aGdK/7qOF1ewbRvM+Yrt763VreTt1xhH0n3lZNDba+5hC
8h9u97/64UAiWC1xm8MN+mmRkCDD3Er39UvXVrwkpu2nxY2k0QA1Lk/c/+IlWRovvJf8x1byp8ad
KGM90oxeckBgr85xgYHrXZpkV7FCVsfmwegb5hdVxFPu0vy/zbD/Bd4UC5SKIp6Lk2YxDAwqNQYb
aOMwxpLe3VwlDmHYM7TMp5i3TDk5xZ0borjf/vpZufb3/uyuXh9WW3L/dMFWgY77p1ckJp0RtKUr
Lj5NBMKEbGYt1+eGSrl8retM81KQBa/5xAW8jl4CIsWB8U1utS+vIogoMZkezcPMaEcwoHy/Chp+
/T3/xSpo0x2lL4sjGHn4T19To4PeW74pLooUblQHy2VmVle+Cp1pKxOif3qylx30hycbITxPNXsu
LTI6UT9/YtYGMtaTqbkMjMhOqs3Um++Oyz/IhWIibYz3tWEx4/Ijnzat3scYNQe6BY9Rt5RlBo6T
d9IgedJ1VgCddODXiDyQG6bOxel6iRp2DQvByTLlg298uorLNMYSBzTXqM6mrjj9+jLyC37+WfwS
7rPBk4tzkC7gjy/s7CQuwtYpuBQ8JfCBp7lex7YW31HYT+0+71FoeLHdxyQhKuaYFDvgrtCLUzeu
Uv5u3ZuIcfBkLPsNYGt72wMdbveh1XQCmFkwGStqY39e63CFaR2Hg8YoIwvatW4XRU0lMS0zHtcO
m7Uudd6MGJXEhi0AO3oSM5MwnTK/dJSZJ6fJ4huZOcVtH/s2DbCiRj1RylT7KCY7uSNTKv2i01tc
o1XHViOnGSbiNPbh+4Rr2zq2U4ipomX/PpL3kxlw/+PyvtJDyuQxdC08ykXDrMwOMREw/9PKly6H
t782fNt+dHHE6CQ0Bom1qmVfMXxWQY1AjXQtUiZb6Xwm4h7ZT541bbKfKRZQ93edWR8kEzTt4CO2
u5FBR8u87P2jTuv1cRp6AXMRvX19QdMvTKaxba6oNyS9SIYrZXlvB1lK9p9rhv4aCJj7EoQd227C
M2JPHRW9hSV9U4E9Jkc0NdyNLVoaQTRj1FuDjBoeoMNqwxGQhbhfNC9NNPHHJhvjw9o3CH53gPZQ
OAp4nzfM5pOOnVmECNa9Oe90uzwyboqns2UU1Y02uo7YBhMWVTi70egczCAKCbhz2y9OnlgF9WCo
4zeKa3JqsuC2lma9rTG/YrwlVk3X54+C+NIj2vRxTQIHUDFgXPRVqmZnM7jfggIpPlFcEVtKqB6D
8DJ850EZvwadH7criLn5Wu+4PV7otwACg1KtMwGXlwcr04EG+Pk4OquJcgu3X/tuVjpEIkTl5ZOm
iKw89TmRdeYxz4myfLKx0JJOOuJ1LWw47xl60hU6f4I+0HUzZVrMJoLhMhm7iRlpghbeBMyJiA74
sOVHELPIwDM3icEtT9WUOVsklBx+ZoZShMxxpYmaLk6wCTgMsYKbb5VDDscGrySp5Vngp89IVLhj
EwSvW0CODHd6e5nwuwSB7aKJpxKDMsj4LTEh/B00SMpXl3bfQmCeuakR4itP1wk0HQjoRfUTNNx6
+OOvdWQGl8525tabJ1RVvhqIaIx0zqvIjliNMhRhV03nIGXz3qAIOVgd02TNZB2yzQxBZI0sZ1Xx
hjoeLlX++qlSfDkqDkR4dOdfumXMl0zw/pM8kU9YGpf/U5G6N21Lh4pK1fZ9ujduFqyFaPlfAkLe
G/pOHHykDj55RdBZkWwdxcWpJTs1oiiD/0cdiviWliNLzFW1EFylYHYxPhAbw6Yeaayo1zWSM5xz
A9CcdyKu6r1fOM175S6XcmnIPTVNx79ev23WdTTEEC2N9wXHTmgLKprugeHyr2RumvVdniX1PggQ
JHYzd6Q3ORlOchBPvUDqK2U8PXQQA1+MNJZPtI7GezR66BmuOiB8IepNkEyHgoP3N14RG9q8RwUP
Q7z8Gxw4iINBzOlTh2z65hAauwEa1LyXi7KhcoPqNQbna5Du0UwP14PCnFToG64TwWv5jouBW7vo
jmnOxO8muWtci0UHRKdYv6VVp3m4B+hn1GlS3PAYce/k8m3zAkkinqB6fxUL6rHOIbwoKnLtRVK+
YoplN58SicjSlxhIrGZGRNAX1gQatan55j1/pl8VMHLGmwoSOhSfRY3ZLUeVZI7b9+/Fz3U+SAT3
okZQk5l6ppYAJ7ZhstLuVJNzE2bKfCPvGpEH2w5fsJSMOlaOlg/xBgig/znVQj48v75CwlcEN/cw
fzgGsfMAfxsujjmgPHQb7lHpOxzu+K9uINiAc1OxtmFTMQ4J7KCdmAQHA6hMB4s7fZs3hn3g5xQn
o9esh2jCGb3COcm3xdFT74eBHbddHk+Vp+JWD7CxrBJz0b3EPcdV04mn7lwOgRbus9CnBhSkedJJ
WlLENox4+TL+ElyCjo1r1grHfRkJ8HqKE6dKNy1ZErvvKp80TNUb7kuu6ViCqPu+CCSpMT5MEdRt
oAwRcp5F7QUWmBfOWj4+GxBlwnTjONYiGItFUZzcRcLIcR/Gp29wVyPZOEAejeU6DNyhqw4UPcF4
P4I+f6uh+p0SPSXZT0YzktEA1dRNXTd8k+uTaI6xaE5DxBKgoMaMG1GnLD5AaYPm3h19ORwcXLUI
0yuTpQnQYrXPajprUTuPpEpTjjab2WoX4Y/TcQaSdLkfUU6qNxw54klqDjWAG1OGmFcpOwY8ZJxy
Ej3EjBhR5hS55asVlLzolRhQ1S6/kJ2IMzKsdziEBbK6a8E7kzHwOguDVzSgRMX2k+irgZL2qav4
HwtGnMYG/9Z4P0PHY4a/nBiv2+Y048Vbl6lmHAzyxYGIqNK9ySUBEXEns3W9yLSuV60u+9FdxwNx
Let6+Tqhxa9IIt98K7uW9zVfpBBpko8P+jwZ/to2ZoO5YCqwhNO6e68iFBPe95l52NTKAIaDxo0H
HFltGC2a/gG83p6oHATR5GWm6gG8ZV57ORONRUurqzeTaKYIH67vvuRLkz+FLY6yttCKDTPXIT1m
WLeyTdqFsnoUuhx4RPyEC41tkAi4+Lr2jTLWdkWANDDkKBIsJbkJE9yj+Vmcrhfg+1q0FO79ol++
Lqx1YLPjXJ9dn8R49M4trvvRjqbPNdvQ5fp8mrLzdzGNgF2fVyZRqZ3DI+LoXb1H/Nkfw2Ci+/n9
gciGzPlW2sAQvGwRqWkE2cPPWPTiFr2U61NhQUqcV4n00aUh/N2JKsd8oZZuQ9JoEM1BLgIqbxWM
RWz/iYZTS9KEqNUijouWH6QNGU9fVKvUq6E7NruJg1C9Zr0Xt8LkJ/DIiScVWsWwFmnAmwXdhB3G
Rmq3LUoeGpQgrPbYqe4UnLILlToPta4J9FrtwKJ9XQHNpIV4UPhgI72WcHO2b+YRDH1tNHvesgHh
ng9IXvbKvmVRKAKSkreVRjDyJr9K+eKu5TUzqonPxT84PnyXQ0M0d1/cRU8YqIDf3U29w9MtTYCV
INHGBeyjlURSC4dEhLbr8/BOLFPYQ84yevtdo6qclusRRAVPuy7INXxqVcchBKCn+3KdDhG7sPxe
2x3uzU7aj50zZne0/L9gkEDw6MbNXqWkEVxVeAMU/m+o+gsEXoycDYuS2usLWEXGyPZIw54daYoG
DGG0PMkWjyfrhbQ8rnNE8OCqUMM87rQuNrZ67kw9E40Cxko/YuQlmfBsmI0QwINUdqCyH/e5YMjr
pWWZn/3CKL65IwkbW0uOLIYcMkk6aGTrbMaxIRipWhb/I6weGpFuGHKm6kwICkTwpAf4zXRh6LIh
oEl9slaDWHJ76qzknxWsT5ixah7v6QAOK8cYWHDqZfGves44BFePD1XojA9E1lxTyEC6L0i+a6Gc
oIU7DYbLq+qGBMGudMRn9/6Mwi+RBecDWHx80/G6mZD0yYqloiL5WlyVTIlb4gBY9nCyVP0X4h94
gq6FYUDsR3lMU/jLaCpZ0wprtP0T/TSYF2GB/MoNzMNQuuI2GJWLvq9t3uU8oUE3EvNADcZ9XbzI
47aGNwD5L2C1IjtGPvVoqLzrukk0GYujy4a5uZIGZbqcN0vfdQDbOijBwHqheB3N8hW2KbnbQDHe
6opXCK4xh1RfS46oI7dWsKzMM+jwCs5KGO4l/NqvZm/pzUmVHW9cu4zCVVK5N9r3E0bF6UFjZ86S
3MH7Ys8wUSjYxnbfUN+sGJbWO3LXum2KZcqhVmnVm57M4gkFFy07RXyDR5+HS2LHuE/AI0gqicxi
Y7FIbH8K6VgTMGcbh6uFpJ6DZTm4HpmVnn1DKDqinGZIsw0I7HA2xMnJLZ8cPjGEHp9HyF43oTlF
z2UXJGu43i6rM9UOiVtMzAkntDII5RPxVPcI8ArA47ObOxujNsY90AztS1ca6j12u/krlIj+G5DG
5mWQA7YZzlWSzkWj30CULnYpzZWPyHQsrBoMaZnTVzlBQxWGoaMyxugW0yx64diKPuC/DB5JDALg
22UMw5NG6TuwahNJ1aX/HGp28qWoJv4mletRw0k5d4P7OdeoWFM9GIRnt1DOF2jE706n/ym4/mHC
w9RD0GT8957LMzD5rxCe3/464Pn9T/2h4HJ/Mx0idzFV0t7HBUjr6w8Vl/0bfAUgg45FaUXrn8/6
c8pjIPmiRQXr9Iov/HPKY/x/TJcYwJa26Z8tQqVTXDq6tOHf8gV1RhE/towMRsgAk3P9lOtaEVbA
PICFrQk08/dRS276JkGlUMCJ6ct6yxyTPB2rbI2v45hCJ8jmCEZJNzXncQIxjBTXiOcP45ya5otw
SR9fD434TKUcPGdjZ3tRYKkPvWm2Z5BE7f08wCPfRkWMZqXgGT/DL4WJjSrBLXcacSr7uo1z1oER
+OmoLmndGp81dK/TiUKHngCW1vamj10zfzYSv7NvmpmURa9LrQHQjpkZ3Xs8T8T3SZDpvlWQuRyX
23lqAOElDaR19FA4mY3udYjVEI540DPtnBiRmldVndnlNuHePlLTZ5ZnyLxINmXqR88CyfMqCId8
9uoIeN8B9GLzbtdF9Wix2wL2gdVP/fOeUrRuIjuip6pXNNn6XspdLKOnKTGSewteT0yNOBnnyY79
bE3QaLQHJ4+euaalu2mF9kabHUO+Tml/qBviGefcNTaVKxcQnAONcQ7tSnHi05oHoafqTP4Rh/u2
s8Who3woTu2MeGrOHPuxtJX/VOM5dDDJtQbnDTxK6QnHA8u7jW/uYw8KCIqBtD1w9jbXoOxXVTfm
R8st0lNbgovIu2yIVtJqfALDp2k4MR8KHI8ogXBjR9b8UOWBCUOH/breE+BI9wVexopqbj/Fw5yv
Uab0oWf6ALMdUrf2CPXlx3I2QOuhVpif3NSme9UGgx3tCQ1x0pcIBVH+HOAzJSCky005Av5pqRSb
neziSW8OYaDIAc3iVEF4C5q5DrhzqVgpldLyaEwP04B5Oysf4bbu5xvLRUcY9fODE/pXGmTqJUkx
xADvMWqZmOBxabotNo62cQiq1Qz6HkoOm3T2e68mvoIukP2UACgAC3sIuvpMERyDHmMOHxW3ZjWj
6VcJEpnMP9pJzo6dNM9QjS6jsQhi+JgtbZMWV+BEn3sg0smO/K3fT494S5pDVYch5VYV31SZprPV
mcm29St5dLW85awsmk2jEUqDOSI6ml1abPEJRSctneaDXvFqSqK5nt1JfiL8E8w8CKQlJhWPXRv3
WxjfbcseZMRIu4bPVF7pcektnSrSudbzjOihLqddobkE85Td1qTzCkK3WkeY1Lyg0lxtVULs94Iw
/Krm6qNNsxEdV1GurEqniWrWiePppjMgrJ+Cm1yNZCFEE3GA8fyIw61ZCVIgVj0mVM8kneOebx+f
YpJcaiTnbXkQhtF9JXtrWjuhwcXhZSPsAkmkXaIZCuYWUEF1yAf1SEn8kDjRDWKdnVt3uhfL+Smy
WqKeGvdoB8ND40aHfM6WEMoJojFXPyDZyOnN56aqds40nmOpcWjA7LWtAZpueh+ZUOCbL5ZBBO5A
B3gtsvRraur1SuZkx2A37ZCJ5WfgE3idgFcBSlQsgpFzNku4ZlATxhVjX0FtJM0LvPp8k4117tmk
1PFslc0SxxRaO9lkjaeFLoymOv0yA2heVRh4jxbL5bEjf3E1+kZ8G1J87DtSXNe8FeJCLvalj5vN
gtRz5iK/HeGVYQ1iNUs6H6agEzfaCbCT+RDJyjoWJboubli9Lenvv9oVoVda08OeHL/hVxB7BE2d
10RQaC3hTJ7SfPfYweTbNCzrl9YY8K/MlntIYvvBt+rL0Lf6lmXCORWxNtheA+/qA+sKKSh0B2k5
GC0GO+Y6XtUm7Y4QJbXVgXrcEiEbPhjj6J7rUX+Ya61dm3H22gSSIAW3u4PBvyXnFvFsXELizJuH
xoIAp8HM9zs93sZGYvD1CnpNZnSbGOHSIPS9ccn2iuL2KaVlvZXZ7D8OyXAutYpWOyGmz0xBnhXW
wxUMtrdmdj9yTjzITlk8x125zVKoJ6Ects1QHworRioEe9ShF3IrRVDtBqf+Qkqg2ijyn/Z6K59K
hKw8wElBHQF87aSqQYddYzx0bnmTNuGLlRD8KtOZ8MQlNbMpN5bmfjJd0LGGqQjWYi0tNefeaYxd
gy35Ab4q9DYKeJo91ux8zw9LiRtc14bNq6aRACft/mxP/QY89dFGc7VVfbXo9ODUVX0Z0ed3C0K7
ptQhVLmbD2HR7tsyPvYRoaNE8UbYLzWOyz1wpCKhWPBde/GrIxn6njymcb9o9mjOLa0UFBkZYDTK
oeqcdvjkmG8UmzJW4edytExvkN3NGFXsCUP6LMx+n/vFmZhlNtYYMKms28eeeJwKY96Xfsz36Jo+
xsSrk+iDzHCkR+yZyo5O/USZBClgy0zEkV6g1HxL4n3ar+D3lmuirMRJkT68nTRjWjVdYLyi/Crx
3Yokx1TeIi9zkiUQKzPy+0Drid4s6tAi7A/CeDTk+6lA+yaEKLd5R5KLDHKfjhpKPLeDM44blyP2
sGzPAGyLhXLqQCDVbfmi5Wl+pwc0i9bmlDIaAWwadw/wSJ2Di0L3OPbGsznq5Wet7jVYllne4cKx
BwO7zzU1zTSLqd+zz8pN37pfMq2/F6FN58Uc2odG5fegbTRc8tplMZLeJWP0oamNetuNVnGsZuuD
05jpEymSR6mJdiP4eaTypdUnlldzP4jJf4tnUW/weNQHg7AEcpH7cGeRFrdynDKBhkQoatT0r0T0
NZtch4tJ7kzyUrot+ta+cb5ZnQrWnSop5EIjfSsce3q0Bw1vY+e8GgmTkszJ7BdqOdIyfUv3pB3G
T3mQEyg/EFnt2mm2MoyRKGeo8cOWG0ZLfjSSbeVELMiQYDYB+vpNBtyuTj5PumY/UKP1H4yGQaPb
hbepTnzT1LNlA0YUmedEtYl6v6zNVanX6amhBt3HjN84I+TBWch0j/KV2Etllxvg+eg/M0k8m3TC
7kJkkYOC3qo+aLO7L7AkP/VNABrYjdzIc3Hok87ZvleJ84XVOd1WDP3WXe2TShqLk5Ub7q50axjJ
Ay47v7TYICKX0Dtp9F6oJNpqrYjlLZqWyCukqm5orVKHtc10k5mDux8KMa7tsPqSBtmCc8TmfV9S
cD+yQDa0hDojBWx9TZkzGe5sIXknbF6Nlr9W2BROAQ3ibcpZkFYOen+vcBjurIhbNR6z0BCf81RB
gIxyKsq5harpg4XWRMqBoeOaS5ok9D1hb5lZf7Q7Is8iYmRyQ975FCpkkdGE7PxjSLxsxsnDg5bb
A2vNfJEN4anuBntLYktAzCgHUXHmoOVlef9Su/PBwnRe+JZFFLA9r7O2HDedH1gHH1DkaqZ4Zy6k
77hrRxWbLbSPnmSiokD3aHaf+nYRCs8lPdLShwKeFjR6Fg22lhT70MyZMvko5UtHpHujhecW1nF/
zCFl+7VxG4ex8RyZFpDi0kLDGtI+j9sQSbTN4HUOt2lf1Q912Js7XXwmgJQDU+wXmzjzn0VQYwat
4M9qprG2wrIEyFmvHCbPR+I14Y5X6X7Oee4yGGNIv6XwCi3HQmn2a4d4epaTSK1Mx+oBPEP4IDLs
0+C2GHMrd6s7XOLMLZ9H0jQ3tu7CmYyyEzCXaR0LJ1tTqjBfb0EYo74u2RPT4lAU5oM7gHC3AuNL
mnfPRTkpjPPzpc2oU2Srpu045KZXl+TEmPj0jVLVZ8BU/baeNfmS0vtkrpZlz2PbZB5zLLY6kvDQ
/cK8NIrUi0OgTCsZF8VNks3PWVUSx9hwpouQjr4nqKLFaM+XOeIpxzC6mnSyyazR8Z9tkd5UKNlv
a9Nt6Ynl3zj8ggANm82ibMEZkkhuaX83YljZzmmXPddmHK1Tswu2zA/cjQnZlEO3QwyOFqfnJGBx
mYYk27oQUm8tx/+sN3WwdhOy+kKCvS+I9LWt21jCI+KBU48o3Tu9jG/z/2PvzHbjRtZs/SrnBVgg
g0OQt8mcU/NgWbohZMviPA9B8un7Y7qqy1YN7n3QNwc42EBtFFxWppLMYMT61/rWOPVMFUs/R+vE
ztyQWrD06Yrg4FEzqD6dHbjrcuH8gjJUF4T130rOG5mhPQt3fg0rygCNtr/gmIspPEm3KpsZ3qfD
Zta0XRa9ay58XsNZVJs2qfZ12tzQsXgqxojlMaop3sbHva0qjreDaMyd2Q07UdoG3Z3JyTWAFbuJ
ftRTbOKEzVdmPL+Osv+Kye5LSVgEY4OJaelSlsFjOczdiuNU+KJpYvB7Kzug45IHNuUFrt/PblWu
G88rd7SOgy4J3Qp3M9RBrdCNC8uqbhPF7kxDDfYxCULkhi+mX6VByRR41m563O9URObjzCMhCfh1
eRLUSNtVtJ1ctz003MEvUxN9M1OCC2agwD6bYHMYrmTdAFo+f87IuJebGMbbFY8syGojMjAbvLKR
axE1xa3qRLcftBGjYuKku4QgceMDHtMjv0xhIjBZBYCi6B5q7Kp+VL2bHQacJwd21ekBa0ixs7wC
xsQ0hyel9862KfqHCR2PHIt3DU0kuSmYy7/bcduf5ih2jpXpIutnU3rsmfFubWU1DxZ9WWsCja+c
4ZPLtLA44Ic6BJ4QMGxbhhfmKE2fRIJ9iQIHmXcex51J8H+dDJyWBmkt+Gnprhu4MLgmCiYcprUm
vc+hqmbQC64Tv3o/aavC1K9Dq3d9KqnMjYD5fO1g49rLbPri5j0caiFfZZjxibGpvSz6rNg3yXQA
NksRoBqujBzre9lGVBan3oun6/G6JvuwTnJIlVplF2yDmnkNHJENt6f8nu9O6Ixs9zj1QzQH/NCN
wi/Bn9COomcH9o0H6P8J6IAcPiAa0obVfOLS2wU5m3iXRFQbTJp712NQ2HEURnFByn/G1uGxk7b0
9JJHNU8hxWnhamq9U9EWEMXTxFqLQNqkxaAKDhw/SkPUGFNanXaZLN5jtDD8ZqmzT7tWP3Vp3R3b
0nyv5/5yghW0Ws4WYo6vDFb3DZTq/CZpuIwlNpuEDoaNkWXK1xT9BYyjOgAqrnZSVnITi5yBfZlf
ho6k9MrDPJIa8HUqbv92HLeFoe9Chd4BWoCzjB1NW6xY/Ci3p9gh7r7NZXULPudyqiZ00Cmg6sDc
oDJwzhImkBctx8JFhEgEGXKN2fp6NLIq23qwj8qs2cwpvBZznI6KbyrVroSf9b5jjbSNZs0G8Msg
ky+xtA+uVd9gOhoPDPTFmiPkiSX6UxUMxdbqxw1HLe5kLEw+iHG14tugX81GL3bukuHyZh66Vmce
msq4wz1ycJN+Mw9O6te1UXgcdObiqbY0ZBMFY32LcP/A2nknKA7mNxq6TeooTl4uUPiG4yDyO/I8
da8oAhj0YnXEWsI+ziq+FF3p3SbUwPMZ2bta1dHaoRbh0TWsGzl7MKgrg0a1Vt92rS1XVtMk5IVK
W1s7GVBkDjjJA/awb65RX7WzOKWu84r5fFtlr52R7/rOfW+GiViUG0+bwiCkQsxlXSeFbyRVgkQ/
vFcdxI1MS1+iGlxyzTTRh1xAayhtfdnsopXMpEvWRYEWEEGth+sSvFC2etNELNB+2zcOeUA6XK7z
fhBHjT19xcSFqgc1cCgfaqxabc+TvBpAR3p6VdNbOC496cC0VU3TSm6cmLOC5Aa43o+wHbaoOOGR
R5YN0drAd5YYU91faOXc7KxWZB4DADxecVYHNy6rWkcDASCnnK0xoyIA5szAHzTLydttTgiNnJ6W
qsY3jQipzeGMgAeoFn28TSzPqGlH5zOywZLAMSArdIF5x/oCEEam3QW5lRbFYnUWof+39fp/qiFb
Xucrew2WvaijDOv3113yyz/9y+ackrjtvzXT3be2z7o/4H/Lf/k//cP/8+1/lLVwzlbGf1bin+L2
a1m08c9Ri+9/6w8l3vntbNg2aKJZuH8/KvHiN0ZLcKo8C9ldOosL/w8lnrow1xQ0+fAnQuJS/VOJ
FyjxJps5ghhiMfD/R3nqjxZYz7NxNevCMvlpIGuXP/+Bl4cuH6U9M+vvtg+OwuONbdAQNk8T88eu
wYT0w6jibzIXf/eCEt4CAEQcsI7xwSqa8ltXosrtk0kAbW0MKt7Ni4/cAcaxD6Hb/cJM/tFxu/yC
0nL4vAg6uK74MGeAdDy3HsGVkywj5zVZTD5n20hrQ7P991/towuWl+JSY84nGqBL/SPpronAnvSp
YZ3SxQ0XS0Ij5NEYEjoiZL45QzyUacIk/deYib/5LbmTCPO4rk6g5SNwQdXpwNm2sU6twCBO1wtL
MSRYJCKMLPkvHPHGR38+vyh3oMHTHVGO+qsP13AsszaXY2ydKITnhWSFN2BFVze2lKGTzG0LDLHR
ESkS4xG7vqFlGrnQeTiQYjAUxa9c83/99cFMuI6jAyZwAA1+CAxAxsVxhm56+k6V8yDJ4o1mO/J/
+VrGEgWAQbAknj7cUGFigiqaJusEVAxnH+OPN9nlIxseDC7/fkMtn+OfMzKLaI6Dg961bFsSFdQ/
Zi5ifDEMgnvrBJP8vRXA9LAS/af5hvOLELU6/z+r1IeLicXckp3IrBODKQ62LuWhK5dmJt/ABfOr
3NF5rPfxV0KeNegLXVJkH6MddPUYw6wZ5olZFDaXc5TBCDR8MFnTAjQE2vhqORNf0iX6AUnTPIRD
YB7+/YP9mzvY0S2WPX35qi7j/p+XvUAYIgic1DqNbieOZloYGn3AmBQqreUOxYKUb9JUNJxN537B
Ci5fXnvJIrGC/CoL9nd3r2WZnkXSlcXqYyggzWBE5mnFl3cBI54dI6rApY+n6Fe00r97KYgwAHlB
spp/SbyNldtwnqrNU2zz8XoeO2tfy5auSNfh6v/7p/zzUs/ybVkQP+WCr1yGvR9v3yrqSPfXlXYM
cOvNpFYbEh80vzzPCsvwQL21+6uV6ecleHlJyTkbzA5Nelzgj7m2KgX0RvTMO+oBnj4qsLHctE1L
o6LSYDS2lERuzr6cyMXFGod8pXK21CeJ5qLWbuzU+3kpyDyvIN9Nl9OMrxGlC07FOl4Mkv/+Idnn
R+yfXwmbBz/SGtPchR9rOn9BEdEYmTCsM61jm+nUQC0VSuVSphQabdoT4c8n0j3YdhpOB6D2J2dj
8MNuG2yOlN8kGR6wIA+4kIEddm8zfKy3kWywg4aw+MsEaYJorTPrQtU2MFwRbceRe7YfZQ4eZz3h
rzWLp5VqcvBoLceWgxJJ/dwt+RE3tMwjO3TO7RPOqxviwLh6HWynn7qZuLkPALU29kZr86NhMjYA
2TxIs37WxIG5CvvYdHZZUfMaLp+000a4pGsXMIo1AO9cYemEwxKV3CHVmVpYym7eaZhfnKNaUjIc
h3Mc8Y0BpfIM9CXPUT/LCs7+MTfi6c6g5+BGE52G6xKwUPxiTB6XTM6mk3Kawan5CeGLe69LnVfK
zrjbrUTYrxPb4DcQMssTesBCnWNY/lrNgdgPtazvGgeglq0woMk4pBaO9RdtQXkMfP2zD1gz2Xnj
LiR9E2AYpLsGjhnBnU+TJeLdOap2DnGdvWLdLPh8PI69d20bzp/EwOC+Yl4JZcEhjGFQfPCW5oyj
Vo4JP3hu6cXxXZAhn3o2zQ75F4YVgBn5KfligJs7Pjd4G0wazk+5gic1SXmHHvApR8DchyBIMb9K
uVjGIk4IK6BPszxGy8bknJY72+D1ROBDI9cybjJdw8B7tirXjOQok6HP9lU6KZ/mlCRVhzXPnZh2
6AGQvbOpS8NpCqTVGghriXGJYmIvSfPNGdrn4K2gSE0Pp3BzJvVGGhGU9WTnmCOx1uMhlMTpq99Z
EkZhci9TweN9anXk2Z3bQarF+zHeVIbLs6iDyD9umYaw6SDdgtOO0sn5cpbZHFIhT5hqKEEDOuRa
CM8WDToz0I3mPjRnsZ9nBYtEhI71UgxD8eDO8XRJRXW2rgFVGyvceYa75dDcHOOMqqwwW0z9bTbS
eV/MZb/W28DBJzvHaoW5hrI3aSfTFW2j+im3IibQaCxInHaL5Z4Agj8V8/SQIjtu+hLh95jqS7ie
e5LTpt4Wt5g3oR0mQZ9j3Wu6d9eaIXsI2V95jt0XJI4SoDR9ysrkz4u/Gn432IOO6OVnJ0ubdgtS
xPk6zhL2Q1cUF4SOGO4vkUr0w76K12D7UZfKvrzyksFQQFra6CVcsjASJNnl5DAHJhEAWHbqJAPp
VjnP8B67LUUG8wulvuWRss9wYthizS+MftINMJvZb42By+gSumU4r4oXTt2yW5Pyatep3sjdshlt
V3IkfbRewn4bTAUwTdm8cHQVqPMRPY5FqQd3PebbA8HS6pA0Ubud7H76FoSl2kRarN1OXpl/jtPB
8rMJ80FVxCkucdRH+CyvsrP4fmA5Xwcij9BKG2ObVyU/yNVwghMdwiEVcN5PkSuM9QJEKzsfvyBU
uFVDzDYslytfqQt2uu4e/sVkrwtooisrCHghK/OCNbJyhD29ajHItxRDlZO2EXnZP1apU4PiLdot
ZosJz7b+FV9S+dnLAE3HnjFuW41RA9MASp2CLr/lqTSnXPg5unCsWlEvqXNFJXnAC5yAxQ3h6+om
axn1+JrDjuz1nOLRRMJXgjJUrDXM0sFQo86xwRbmiJud1bZ7CxudBamcPeNh0mduWb0jU9JIkFIb
tx9tMBJxhAuiK2udNBehmNknhFc+BwbRFUYMWJ0XRmfXejyP3d4Gsov+Wp6+w6N1vFjt7nsi/oz1
PAOStZFzVNsSMIEZiIVyqBYnTx/Z9d4aLRLa5xhIBWiZtyYHEgwprtlnUdYh+znIlaA8afgC6hG1
Vf5i0z9XvU/VYC0hH6qhMtkxMUws9Y10aB36dqrZTyTrqP6LvHaflRP0oWIM4x69PYm+tEP3mmBw
3thWHIZ+MLF8fMY902v38VzRAe2KyL0a8K36Thanm0ipep8w9ECeXjAmXphLyt0s9TjYTX5HWOCd
CfrnUVjGdbrozqyrMvMFqsnG6ivxFiK2vc1xrO7DXnLl+MYnmxqKr0coQGLGGaIYQladtfLoICgz
oVRZRfceIN8Jr0Qbqn3njToUpnK6rNvOvHPmMdZWDZ06SJRchYSsMXkPrWCCvcFLkF2OTWNdzyRl
r2vD6u/y2K39pjTar9agZZsS9smX0nOGU+dUM1JcICiQbV1mhWlEjlH12N7QiDKWCy+wEYFd68hg
/UtQaepedWFKor3XLxFo7JdUOWnoN9DNeVYWNBziJg+vPOyr+Cds86h5yoPEPoTtq4hVdaItDXRQ
bPcncIsaCUhGQ83OYMnbamxmaTDFIhisYova721EKv/BSatqj/Q931dxFFzoU88EKtJLJsOhekb3
qfsNaHMrPo6UC9o+cBUGw26g3PTKGbGa77yob/eccrWLRM7lI+1fAh0z7dFbhSb1FIeyq64wAlbv
xlC3lz2j0B32gelUJC1NuZUXBfjnDY4XEYvbjnE1E4SKnYXmh4McbkMxKEw/SQCoFcgaZXljZyLx
ZjbuA8EyauoTYyrsQYVaw9TqKUxhHnnZyWlm/uTVhrtxM4kOzur7rRROH2w9rZ5x5eO0tqxabMzM
mfdtL+O7Njfqx96Y2k9uNlmbYaTWfU4WLiy64MrSMaCvxjmRa7PCigNkbo7eiMryHOr0afADbYiz
tcVHdTMwoNlRQyMb32bgdk1Se3zUG6XBh+mINcZmbW5dzWwk89DC3tatBGlXihjtu+fefccyPD5V
rtl9ZbYv35TTOfFWr5y+9YmhkH9IygwTSeDioJ+7uY7XTUSueC+76t2OxvCmTXKTpxyTjKOpxqgk
51XUa6g6VChasmmgSRXNtZaR0BK6E3RrL1wocvO0mJeiUkYru7c6euV6kOWaJYfPEckxAq7hnFzj
0Jb6KqAU57rwsqzDZDlqIDxMrtr3ntH8e+voGJ07SM/79f9tlfMy/tqUbfnenXXM/9Y1z1rln//2
/5AWatseSIp/lkL91yx+L5si/smV/P1v/S6FGob126Jn2gAsEMlcmx/4A3XG0kngY1V2HfgvSE5/
SKGCJhhCsq5uoVGIs2TwO3rGFL9hFVzOfGBUAEt7/xF65oMosPS/oFYZ+KKlCdZDWMvh+QctlOWT
GilyWlcF6YvNoAJ2pqWJb4hJvxoAX9jTMRmHIoValnbPXWkNj9B1GdK3XlE//fDp/Y1O+rHnY3k3
HJ/RfpGYLJdT68/vhjFjlbLCDVf0jpHIoLkDHL0sMRCOAwOW1aCs/lkO8Jh5ZrhLti1ZeglwEErL
dz1ZvHldp1/zMyLMcVlmPM42TL3dxLPlG23HbFH+/R2flaIfDrLndwzMhqkfmqv+F6nVigm8E2Lv
rszRDmFhYsd+HOiHMbcsiFTQDxD6k3UsAxdnl8NmeEp1c5eTZAWyPBCwjsaWFlIqs2w2tHE5rLp8
idLJhqPlJiyT6CbtvWPeemw0kVE4JkT1mTA3buJWcy5jtpn5L0Tdn2kvy00hEYrIi4M9RR//KI/J
SQsJBdJMTluO96kMlyGXlQpujapAtlZj491XgZF9/vcP82ehxtap5ZMGo1hPcC/yj+Vt/XAv2voY
WlUbFlfnzD0tsj1hUziNbhB9+vdX+iCZnF+JXhYAGKjxzJ0/3GcVTaQz+/PyymXe9UoKiSBt0AHx
W6UYq/W6Z7/Ic84t/cS0Vf6rm2aRS3+8afgthY4Qhf2HMJ758eUZfcTk8PP4Si7SX570sAspu852
9py3G6dhAz/RMBjtVFYDeK3TUn7DGNQelDdZF6PDFB4gX4KjL5FF/mg2BLDWkTtN3yog1Gsal3Lp
215pIcabzvz70OsfQUrGXy8USByWDQi3oC+kxZr244XSsbAVNmV2lwYmyte46aieMLS0A6BnTlMR
HhUbQZIImDPHuY62Tolx2hfGIN87ibfMn6JQ+laZDN9i7JZvg11F8vjvl9iy/3KRTcvkJgIFwdrK
t9P8+V06RK/0BjH1MoFTj8657jiD7UZs/962o0ccZ3mt3w45B7BVFOEXQG2hx6OpdplVCZ/6+vyu
yux8pHJYhU8Kq8ZhajvOZHZdPZIfctcMvJlel0lC8zS4TgU/ti2uFILqdU3b4CYMDQ9DyRxwWqF8
L6fLrsvuRBLehFNB9XXWy/oKp/lDh8aNV2oQfJDxJFgbrH6eVyDokossst3nQO+tY+S4BpDHcfB8
pUcWx4xsig+aS4XOSk3uvDagNK7ZQH2t2rq773H+sQVe0CJBW/cHqKIQBiL0sF0gaX+EBpFS9WDq
zYL1qbWXHoLDuqpacUjLAlt47WVvmMoYA1dmnt5TFTQCJK2t8NgETe9PfA476Cjeda1yOjRVU28N
YzSGTWZL2hLxd7JZH0QUkAowyWXhMiLwHeqYQ7HK8qgRnM8xtqzcTmafof9FJ9F41b1tdlRFe4km
tq2Tz6+uU8IS1Ym4bwdMOFttHPVXqkfVewvkw/Zn0UEzgeE3hNsR1DpfDqU2Uzj07hYFcWlIMPM9
fVA2xBGrKfmg8wGLfpskHAQDRQ4NxsDMBj4LfBMQZL5rnHSDDWXSbxeyCHWyjQ5fhTup25qdYtM4
mnK8oFtqzoLbXtVdThd0zJG9eYuCSIj5uUV9lTmE4YalvPwqpjzpzGbVd31f6VcYtfN0PHpxPe8G
j6KZQ97EiHKJyMp7HZr9ISF72GMH8/BGTLVO7cEcASijUDPgedhlqao3TqpCnRMLFNPriIi+LPfp
JGHST2O2GOY4YnFHqYDzEkYXnoVbhxxDcD3w1XFCv6a5ixvOTFt84FncYCiseXhhJRlix8eWbnhs
6QMdY1y5yMjInr0K8HRhQcWszq5gaxdLUtSd6UfxC0HMH/DKkkUf2omoextraDhlGLvvWk/brL7W
S9HtYsvt3St872FwLEzZISr5xdjW87Rv0WRJxVRhJPNN0A6Q0qB1FJQoZE4+7Tkc5ZVviwnpV472
lO2aGCiUz2UVT1qVo1ejNy8n9DTXtWvqf0g/9AhFT0mee/nBbLwu26TUit/NS/B8myxC5YkpZitp
sYpE1O2CZqiKex7G5jEJUTC3fcU74KiZhfMG2XX2fBAGlbrM3YlbW+Or0qwDw+iPDV1p2ToMzLBf
y4W1uorP7PdiTkwCjCnFWGuXN8AMCLmyPlDebO3DWFLsI9K0NtdxGWOl6YOUNk/VVN5NEqjE8s2Y
JMcqJ/yrnegUwFtbBSGCVuThxzWmCA0tig0QNhT/4KNb/rvVYr8tuH2oisYgFmvzquOo/dLg5MJl
FfM9ElfGXNCJhTPT0syHifr5/sqpPKxeBZ2ol+hxPJLCVqb8BQ+qhrkN4sgogAVkyNLQWkDrt8qe
45PRhd3DWV+2R3R5SsCXHHZf4ArbtA6ndwpXjAVnYdZp6yNOb2Ijrp8ztYBDElDm963tqC9VE5n7
QSpC9W5qE3UtmJ2ZW7yr5G/PLWfzWEGNJsVqPHwPwyqoua7f4QCiiFXkSbxvRgFeoZAhFXHnipBC
r5ebM0FFo12ljVogDhy0mHgtgwFyZbyxEneRceIJ5n2iUpC7O2eVRO4zvLE8oBIFYnFWpemdcCHy
HpB7KO+ChrRsPhcsBFoNWnKpcl66LGeANKPIkfT1VC6//FLQplifeF+YZKhywv1229c2H1WEMZ/Q
czrw1amyMI1vi0bylQeeQJb/XL5liI5YOvLHRIG9WaEXHCLVjP1lTrMYrcV6X9NFy3Se/DEJhWXR
4Mvk8xuxgIyeseyTuyKnetD0ju4Qx+7KjUgR42AFZqGKJQM+4qG7M7uRqHHINjc5lVWRJvcuTwsK
rnTj6gxXsXThUHhuRbE4Uq/k9acgKsOBQYVE3iNQY+4qwcfq67KevqZZat+MfauX+5rjevqknDxs
93mg5e/T7C1ryFlx5xxAdDoWE2poBfz2SdMDVFNVhfUKeareTI2K7mJyzCcvTxN7bYtGLEINcyY0
J4YyxMyHcJOJgq/JjAbpHayiNOpvpHuBvzBA57uhlhV7k9jUUW7HYR42PGRUfTKaXjgkObBk8qQ1
hyWkXycvjTd4D9rENv2Ie6sx3joKkMlgMiUfDrES/KgxNyKmKioEQVxxWbDHpZ6zncth6Egnyew+
Gdqaet92b+XjYO9n5XBxUh3/+q4CLlNeFs5oXWidbpUbUu/5cAonVZGWsts8emAnQvfR0l+7Yukk
QIQjWLWMUwa35ikw1fdZWBvxZ6MEU8sYiB3Y9EhcFKJKVLfgViKppeFRCyr1JQp10MSotU56iD3d
uB2Raudd06Msb+K55yaNRZeYN7i2Zvsqd6qM3H4FcPByQemOPsVMqt0ASOKqKZcWuVUzy5y1o22z
jTGaY7MeMuE2u9mtufuJUTJ4mBiCtn7AgKZ+gltjPCRRw73Gkw4GF3b99qYgGsgCKyqPfCLgMrUa
e5zEvaLRIE0H+Qg2k4mJYspnXVpB5g53dYCPi4c7d/Smik2uJgcHgDoxgO/yQjZVZN6IUc/wyY+l
x+81jlp4mTYaI6GcHKUAcZVjEc6ygPffeGm4bTHAEfYadf0wAd5gWuM4EjYencSX513p/1dSfpHv
NixpsP/+Zynl8PYalT9mu3//G/8toxi/MdvmfwYnU4dOxj9lFGMJd8NzZaNJ+ylnlT9ElIXfyzCe
NYm+AQvPzp9+MuO3xc/j6IIn8nJwN/8Tfi/iy4cD3fIT0HEczvXIOH8pnQW+Xfe2DJwrO7K0QwhD
rT4VcpoEoUFGLEuztchTsziOuudk9/ijbO8LRptvUTnb96D3aXMwSvRhxxifUriMJ5vFqmMm4fIo
qArHxXA5t1651sx56u60TLA2RiGK/qNe1PRPsNvIzPyUenG7G4YsSa5oj/JqfJmZu43bqDjkzFJ9
mYCnywHkr4s8s9iHu/aWrYMgx+T1t7RWLeVOugouMrOqLtqezdrkDPWRIYB647n/YjHGfLO8Vufh
XcqdziD5Bflex1SdO7QbtVjEE4Pf141wBkvRRKd5isa9XpXWlgulXZHmCgjsyGEbYW1qAr/xRDg0
vqx6A3+13WZdv0JfT67JIYonBJQLqwfpbcRjRWoy0u+mtijvOoISa4KRT6SQvcfRHqfrsaDypBLe
EwQ7ZzPokx+YQ35rJRoTmr4RV02eNweCnQFu+ji+yIeSGj0nii89LXv1upqDYEW6za6c9FQz2dxl
pTZgIJXBYQoo9MQyk/FMifEvJy49pzRA1zA1mnLvifhb34tm46l4/GwbrqJzNmZoVbPDBiyeuS9C
9IwSJa0co1s+5XH+hE03vgTQxjkvUsNz0Gn2xjRJtcAd5PxeYTpfSVUM7QrjuU0EIvbyezlTrLYK
9Kg6LHfkYz20ztbFjLxkNrN0L0VfAzmSsuPdD3INP28wd/pgOrQ+QB+htz01wjsrNdKbaWrn60BF
uh/NVn0RmYLdcqyPNq9iAkXi6L+zkqxhik4m+145dHXYeTVd0D1pXgpim1snCtQNB79mW7Tt+LVz
raxYQRAmyJJq1Tup8aRfhcoydrlM1EUzB/F+tIv2ogvI0q5GR4VvERhKHz6NvY8MkDfUZ1USsoeH
hh53UmfnNGGIJxEFcL1YAmG1M3grWkD6T1jImavV5iS2ZPzriTJYGTPwjoYtGwOCn1pOxIDMu3ei
xA8LeldZjJmHumy2nuKhUfOmJJTEYwuo4DFs0FPImYrovezncuO6mbeXcepcNLb25lBJsjKjKOFI
Tw5rBXQLdWax3fsmG4CtTHTvKR6mdDU08lQFRXzDgY2sVGjrXwbHyLYiNpyvaR3Mx3nMyeU7A9No
1TBVaYxOfUaxMW+0NKANR7rBtkfyDP0iVdOpVBpxLtcNyiN8LlWt2URFm6kX84202T3MNZt9x6GL
E3kDJAKelrsMI9gORF7/yY7s8jYmwkY0FtcG2Z2Q9HpFvNOmaoD8n8evhEgDGglPduvnUtWrGS81
7YBDgmQSwFWAhv84jPWICFsb2wij6zryJi5JZwWXkVs0N45T44p3m4eY3fCdZ/b7hlHXtep1Ji2j
PNo9X+tVQg76EAe52rvKKaEoCm1jKKOFu1C50z2dG9Vl3g7iQQj2YbFu1GsM+ujAqoGaNjE3OxS6
J+/HpBa+VxLwHSv9MpfaRi9KdRtadbMUyhDXEC4Uv57LXdpFBFqUhPWAzW0dmko/zLXxhlxC6alV
Fwe0KXHI295ZxQb5LioUqPPhIu8a+hnWQVw9aLKaOIgLs7ufvWj6Rh8NhE9NToAWcuuWTpFlN2GQ
mTBNEeHMgEfAPLpax0TsV7qYO1J0IHEA8FnbuipC33EH51IfC0pNQAIePFL36yClu8Is9WjPATPz
NY7xm8bqpoUeYTvPPATnPUXx2jcjqbXVqCKomI7VvyfUK3KsiMu7tibVVZEtW2bfr+Gch5uaGAh1
fMOwcwco4n4V1NGzmMPuosmzu7Yse+KJTuGbTVOdBBQvWDc2jIPRnW90I/auWwpG6lXXB/PGCskE
5laJnEeJ+hoRbFj3MrK+IWgNzPbHr4z/F4vEAqIMUhX5jWNrF5Fm1auystVTNZIKtYxqvnOon1x3
Zuk8927Ed8N0qjVJyuxgxOl4SfuuxoIVEuqwY+slzYaCrXRN1iUgPjTrpfFKQ621Hrv5MehZ0oWa
xN4enCongxXY96SqxnWlzy5dE9ndrBsHdg8wSRrYMSCisX0xRLO9tYwHyMRp+KSNdu4nfU5/n1NE
N0nWTuSd61B90kOnPnpmLY8hpW2kSdPA27Nuaj7IrAs4IeYdPSc3tOJ2TL/17EQFT+rb3HsPySTy
Y1Ay0dQcBpSeUVw4M/4KupHv0snjVlNN6ZLnDUKfeKq7j6k+3IZUJ21as8993Q0ukrRKdyVYYEpr
yZ4XM5EmVeXWgS9UtO1zSHMhjXsrMWb1hkRhfhHaDcu3CtRrFOvQXdjHn+ahlV8NmWVfMJ1qV3bb
3LZmbt/PrvWoT1Z7leJpu1AKuiNGpnnnMuPf1LYcHjmM9EfbyZecW3eIEknsMI3L3dBPzJvnjM4M
ttjtMRYBTgF8Y3SzFuUNjaXp2uXJNSCc3RphJZ4Zi6sLj6cyAUsjGJ6oCNeWlhH7Iq/i5Chie8vw
aTF3McRxrE8j/BkiL3m2iak6ovZ3yB6oVq+WPEx9Xbmd4Y9tBQetDr65acgSCCMDT49HQXXUZvu2
zBb+lKVOFeOUz4O3+GhayimrOavXcGTmd7vOHqK8ID8JbuE+peZj2xlpR8aESJ+TmJcDq+qmioyX
oCWen5dWdJ1U5QVlRNPl6IwX1NBYj9iEimNNi+jGIpq+YyjjbeMxDV6afhrhksTNy6gVzoojs7cp
BzEcpEqgcjntiyJUTpqGQH6oloNTeCYQvmq9Pa2byeQ86ibz0fMmHEBhdho7XP2oXXBTcoprsjIk
UkxiM9Jl9oi7o7hnU5WeitrlUW8bgVzFKnWT67LsDLLjYXWVEc7OHbMiI6U3l8q0inWBlWMXJRZW
zEiEF3KBCTYi6fdhkBDFHVTi3NTUSx2o6jW2o9tzREoSWuMs9YLVIMHvQv5wh5wzXzOpT/wUav+R
lE+xtV01vvZu4GJKrQkdBWnrkAbi6FqsHE5bdKjN49eCptsXh5G+zjb3NQ+xIfFG3vM+r7dJXniM
DMBvIb/rgHSTVNuHc4NqxvwkT1aGlRaXFf5PH2abAwgyryOf6ua3oKP5zSpmKBC503Qr29Ox/aXJ
Nftev4v1bKsEdhg9qHiCqoCjPuuAz0O4Ypri6ntQBfo7ARcbpjF8hL5TJcCCLtzgu2tWbD1QpbP0
1sblZK5aneLuIGh1Gs9FctC51C/oruFejEGwkaAQwJxQT31sWjwF4X+xd167kWPpln6h4YBub5K3
YRkhhaRI2cwbQkpD7z2ffj6qumcyQ3EUyAbm5uAAXQVUdZa26Lb5/7W+FSj1quwhUIIH9qwX+NiV
s9Fa3IDhpB6tggWJmr4f3Wh9o30fCiu5xVTJhNDpydLwYn3jZUT3avf24BHqs/LgE+XfwxaGpYno
8Z3OPAQxqGbvndvckJ2eP/Rjx12j7TjMgGfnnfUcVZCQkUgklDbAZc71FSckZJomTbYi0BRsdDcT
pOkDwJJ2+A3ZI4gX/pv8G41CbzPqXbFDfjRUC23mUqszobqlSnEogSBh6ZL5V4Mvz4jHasPeHOgT
rKRV65N0G1qigHpdDNmPylO1Qz5DselK4rLr6YjfWK18mAI6j2Ul5A8T4a9HnWkqrjzh9GsxObjQ
09JYRDKt9kpapEe1D/DeGailwFz1rYvZFudlAICKXZ++yk22MHpfpwvfD2NXVgmhhonQr9SsNveV
iuo0FFTSbPQgKyHH1FhYCuOpcZE/DmFnPtdaLAYAOwXyKSLC6c+pCRUv7tyXHhX6Mkya8Ssikls/
srmtauIQ+NTjvOvIUfdmL7GKb9IHwdLU9aoyZsd7DXmkXXh+Yd/arMLAMQYaNlGtsUeuiyzdD2kU
Pfh2QguerSdnprq7QWzp36diqjf2fLO9NIi2itNw+hKoA28Ur+urRZ4N3VrSctiNUV3ee14K/zfM
+aMt8XW7uK6yL2ANKiiSWvlUBZX2ohV2+ZLl/pOXWuq1qRcgqCaQZS42ppkngPUPdpd6BcyvuO9o
YGcrD2mKdWiHwDxmQflqTcCTF8U0oFhTApUGQa+y7IeTbyIkTTx5Gydj8hzhOX8Ey+5tbd2hYTTi
IMag3pHeCBjhR4dnArMzpKQ69YsVv1G2iaqIjxC4D2ZfiW1/wdGDvQ7SXXgDgejfJnZ97PgVAQE7
H5BdW3NtB9FM+KXygUyp5VRBqAdQu65tRVvruDN3PXDyXTBN0bUIunCXGo51k6BuQ88peZlU5S2x
8+kx8E1PLKSGEpVGJ5OGig7yOWaq0Hnze+zxiLJulTGfVklbeNtG75Iv9PnslTHxXlWT2Sw0YGx7
wiIRXbHzXYahk7uorbRlxLEs5/w5b2Q1UV0Lg811mKlinsH8tTOWxNjy2kVp+ZI3vZ3eanFUG0Bf
MT8cSo1VANg0pSwkibJWe2ypcvqhjCAd7jRHiVwJq58f2Cnjc5MNxfAw9UrE+qo0HHibO1TVhqWD
97B0mEaOUQ39Fbeksu1N7pfwXYxay9t48b9Ss6sDAKrDDa1IMgutEoVwOlxo0Wun7VvMEyoOIAEu
T6W688HWUA49RH6tv/GVWqwUB9m8piOMGFI6nrRe/W96asyIXawsYqPAyReBtrYt71C00xqU4JpL
3TpThO35kuvttAH+/rtJHaMS2g8EOif+oRRpHTF0en9TFNWNVbBXhODX/ZWLj/MTN0AzzVnpQwaV
dXoDRNQMHHq7/ibUVaqzHIGVZJNZ+T9qhP8pSV4oSZJAJT+rSNI8z6vXH38UJf/5b/5dk1RRaeFi
pZJooOIgPOz/1SRVao94VaXAyvYvqOS/q5IUMjXKjnOer2aiCuPd+re0S1KV1HQHMRbJ4ZamOn9T
lXw35f2uMmFjYluIH0BTGSAx3wNMfpPTqGlQqCTNKlc2CoOIzQWQ67F9qTrHzKp9pKZWWC44b9qs
BVaN3FFcGzRl+jWBmpCi2C7lo1n4exrCdmwcMgXZjkSaiApYjfDL4XVBO0nO7uBtYcKRw3ct2MKC
E5v4t17renQCHA4XgooBwAm/TVkgrrUuFcCm8ahYyiKwFdomHdaCdG8gSqI9YvTESWFM8zr1q56B
Tlyy5QKQdx+VkwYR0zaBFR7tYGgD5xYWwbpvHDoDC1T2uO9pWsKKTlqoLWyYRwVqkS9yGt3/f4zf
/+0kkdgC5hftvy7kH17D7Ocfhfx//ot/fTSSd9yQLD0Y8aTNZ8DU+S89pMWXYSPJcgRNNHRgv1Xy
rf+NvMfSeZ2JbjJ0yvX//mZMgw/NshCP4QHG1ehYf/PNnMzrZKBiS6NlMAv0+EDlybw+OnQgKLZM
LjgNcmHEeODk9NvdOKNx/DjEbFoWdI7J4ANncTKE17eJ4uvO5OLwBIpgL1ih8Z5yS//vPf8PRpl/
i9++/YqApUEEjGJl32rlWz78bMQF3+GlC2Ey/X0IwJv0WDuGQMNuqccRzMr09vlVzD/itxnMxLr+
vvAxdzlI5qyTIeRAR7dD3uT2ps2eTaEaGhb5MU3LLY2WS6rHDxf0PpqjGahxSYk8tbIjJxkawUEW
fp0vFmrN30Is3wR6F8nq8ws7NxSLwJwOjyj4g3dbrSXH1UHjwgLbf8ALCeAWt9IBG0v8z0T1X4r1
TlpT7/eQTpJO5hcwAMs5uYecVdSRbVTlZpB/ruOEeCVJr3/pDdOwKP0h3eac7v723eBWoi6AG4ry
GdbDyaAi9DRdycPaJSuJoFuTvyHHMxcEXJsXrm/WGp6+IzqNo3fNMCvuvI387U2PDfD9RaFULkA/
SkQJ6QGuUtrRLtZVBHZJVRKvqw1UHKbg0OJsuzD+/L1+GN9gbaL5OE9NJ9/ziGQ1UGNkDXaqDGvw
mSZU1v7x8/flZC/8/hDRMhJBiOVftSz9z4sckMuNjaNjWGpKbYvAixOZbxneTaKrE9wKKOxd6yBA
qdJq8/nQ594fQ5eA9oimmncsfw7tCHPQfN2o3KiPx3VhiMbHNghwx1LUpFwYfoBELMC+9PmwtITm
l+TPO0sZBnmpPut0oWmf3Nk6UYqIpEU0rEpWfc8tCZsuVHt9bfXMOsKLky+GCvBXTeDrQdZpN0Nt
8AiiAcH30PXbsKiqJz2YDPTVU00cc2MddUFBckVYAnXICodH7lXqCt1Lt9E6z7sPVb0NFlbaRkCj
bZSfkRVd1bKzsOIU31K7WEWgvdZJrnVuCwNOvAebKY4mVzFiywNdLMBQZZsvZFhh/K3aaBeoiXUF
tk5+JW8+g70jxuCgloq8SvBuLCckalj/BBYmnw3SAr9NggYsbq9bB5Bc2PCPQRFQLrDK71JPrb0X
pmyDlLJb1daUbk29vkad3TwO2Wgee6/VCIew8EbRid2ZqRqzHdLMDaV65DRgiA62ilmVWuVAV3ro
viDA44fEdnMNIGhc55NNoDcoUe3geQZLIdCgpZ+3wdGLuv6706TjsZsMalgSOejS6iLGC6effSa9
l6BoqwgvdDI9yl4KY9WTUl1Vg5JQDjebX0qJS3FJGlPzRMuU3tggiaLtOoKYrfkGC5MS0CjwS6ak
Ji7lKOQqLbzmOpGe0WClojrqicwim44yDMFWjQWAPFJuIt/82dQA+fqxmTnkw6M56T+dzBFfB11Q
W2+V8KWJBwpziClj0rH4kMiG+Tk1ObrHgB2qG5XMGHjLeQjE7jVP6GcppQ38HhEIoX3qiPopnF99
KjbWVWq3waFI0bIZFDu3bd0Hxz6h8udnRrdyKhDuPbWIbY4YNF6w4PhLhyLZ2h4gA2Butf094U54
dDXJAPokl2UZNds+tWMiy5HExfnU3jeFxx+m3MOLwR77mBAeN1dQ4j25pViklLxdE1xk3toOt5NO
qOatUvTgK51t0w1K1SjaRbpMAUlRI4GoRKQoyDNP+2LCkjyO5JndR1BUhwVVHnELASsi695X0fVW
3htwMsPhLVG8G7138OLHNJbbhallLZ1Ez7wdAyqs0LLIiKO2sx+LqiTZytK+aOnU7aRTyDsPk9K2
nlU5lpb61yQLUVcq8b1ZyJlwDXeq2wal1KFwY93GipIMS9yb3lsztIR9Fj3hJgamxm0+BvYvkxSo
X4rPqaBW6v6qwsf6FiBoWvttaWqLmRWzVmpSU7zcme+HR5r3SpsG4PA1d7LuhmRNMqCKd18b3ZTD
2zXBEuaDCg9i7Y02wAC8wtqW4PJqK6hvv9i6133LPBEc1bRU3S4kGR2PLIJ2UPOdARRcs79rMbav
knL1TWsM/WtFGx80ne/cDpRJH9Di0hSuqTeth1ITV73uj3dGF8+muMq+I1gkeyXLsT9W4xwxBTr8
BgGfvIYYOR7q0hFXcWFk5PdgPi7GRt4Xo4GcfRont+wVu1sKVWeAUpsnr0T3mmNFEEiG89aL8btJ
KVYhvrVN5/XqLxNcd7oISKm/L6su+iEmWbtaxyREs5zwH08Tq0E6YlOMmGCbnOSpVV2E9YoNpblu
VbO8Sno5RYsgL4OHSU89jnZdws8UXgCt27HoxVnZtOe39R901Gn7MR7LKxHppNDg8SyXkUT1Te85
cnY2h4UNAnq5skzf2Qk0LptGDoCPVV/ZVkEckq8uqZEubdIONhwQmrU6VtWORCc4uBAjx42HqJw4
+jlhTKfauuy8hvsw0FcAIA51I2MT8IZEu2Ea6+JjQqObZgfyEJIuy29U4CZaMpblYjXuflpqNm2A
QYornXCkbZ+HgPtsJSoIBcy1t8bK6pECeOj9qkmZehrrob91NBVg8PzH9UyK+zSAaQbAAsbeJKz+
tkeRf1vbI6xzG+jAmnd44u4SdWtqYB7IkmdILLsxWweoAst21J0ZaNyobzHgv2eUQODXRMAfNStD
gRcpx0NW+NFSB+X9xcwG72uEG/+pC9N02zhtthViQmM7aSprtZoue/TjS3Vo473M21eiWpudjakp
5kxOud/2YnVe3jmTj1V34yCmx2gcCGVdoSI+yHjoDgTjYPMdtXxwAdVjlAG3BFdPNzoq3HaX7qlV
D+ABOKu3QManiWSFmc2uDng9aSfIe22o1ZcGRfcxNGseXZHaISIXO2M/IzF0gapl2DDuvf0w2TDr
K4DmuVUqD0Uo+36hDDx625g0vOMGMp7ECH44Gn86TiJ5n9JmvvK03Nn6kqo6dGJ6jAij7C0HUVDN
hRI/9U7obLOslPdOKZW1MCuU3A0pmD6yqWU1L3a1o9X/pCr3kkKsoWG1yJ2auDFPDndGNZrkE5JC
h4d02hOjG++JOUCKrprNOjXV7GfEGr7Ta7V+gNIO8cK3/TsZKP5tE7XOPVLjbinNGnx6VWRbuzLk
S8NZFE4pzVN6ihlb8Zp+11b3lOGuaWKIsYra/ewyT3kkIsNbTk0TaStbkf96TjHll18jjoH1YBr9
Rn0PxAZX8uB7MZMMPZc9iot2rYgh/Jq1tX10iNIlZrMVz0Y7ms9dpZjPkSjGG1YquQG8p6xG+rIr
pTADl/TJ/EAubfWFvLpsrRNauFZiY7h5v+uNIG88r237Vo9V0qiynIWvjq5oP2sARoN8mbUT4g9e
xM0gcloGJWx+UtibXTo2xrooQTYPlWryEVvOuG8R9t+S9ervtDQY4+X7uzzZ2nR0FBOwF6WGq4mk
rhurzjCVJBYIDLPpyoUQWXyrllG6k+MgXxyqR9vGU02xsEMWQ3UyefxTOR3gPU0Hraydpd8TfrVU
xzhgCtS0L9AX3qp4HG6YFMadjnzn1qqmiV6JaNEk1cX4pA7kwtJ/x8I7kcOysTSinBMHoVsbW9Gt
QRD3pjX0eG+2wN7I3xjukB4rEJWL4ZacCJZuiKzN1iJzzkA4lFrxSkcCh4xWC3BfDkm3cyp/wkdk
1sWhb+jvLTMryx/afMg2LRMOe6DMqq9w3TS3pT8Rj9HKjm5iMh3GXiv2pfdOrNSoftGSVh5qVc2r
JV14dswmmPSkY9pQfYzqC8r+ZGjUIbB2u6OFhtw32zZaljzNAbHrFCrM3nBC7U31zfFgpmW9Mvte
fRsdW28XQ5iTT2zWoK1rPswQyhaipn46VrGF/b83x7XdjBWKHbqDdEu6ogTbLLth0XQ5Mx0xktNR
JXmBDpEB22Dp8Q8PJnoLWBle0F23DZwdjz96Fxkaju98Kj231iJzGxKIvItsD+kUlf35im6tAGQr
/awAT0Oo18s2TO/1Ia7WuR1l66kIlC1ne8SNhiClA1E4jGiUxfdGN3dZ4lC58r3uDuiMBZqf7nEf
KT/tEuOUZmYvRgspPYlG75rLiFdElTFzCr+uNrZd9es88fUt+IwOB5LXXNEiwhtF2psFiiII9sWE
rKQBAKQXRO7R/U6/W5nyvZ7ELewYY6MPfTrv28qdHViA5abwoc8RloP08F1mK7QOSLc1lTa973G8
c2L7RcmMaolcG6NgWJdEG/e+v4iNimhouwEuIgoTnARAUMzuoP0XSNxNZuzsMBS0RwhbXMYw8tYS
6AvRwkbXbul9gUlpUanHAymNaPBoGyIAyu8LU5KtkPgqSbapHlwFkSzusiwuXhSfQABWdRIllKL9
XnSWvLe0yhxWiV3Eu7YbJyQdDrksJHi4SkDbdEUrybwz7Wq6i1AS3Rf0YNdd2loo94YK284k5Xog
HWfpkcmyTWjfbIhfoBoHaG/vR9oIPbop35xqSq/oahnuFCfCIZEwR9VVbIB/xPFVnb2xvde+DhzH
DxruKjxSOhK4DruwAqe57YmWI5WVUGtnGynYDhq75VNMEXVREVdgymLaqtrV4Ik3MzBhYXeY/W9N
wi2OmWjyTRuO1VdZsb8Cnh3oNyO2HsLdcDHSScyevdFSvUWZtcaTOq+QUktBtwZ24A5Z1l4FoW0e
grRunrPGEO7QlP0+EX53haYk/t6YkRdAaOXh5hjD7jqrSH+ktaUu0RCarygqc51PpLD2Wqyb11XD
CVwqHLAXY5cBDA5rs12PSmM+GhkmqtiDS4LhpwtucmX8iajeftFzKyMKYLKXvp9Ms+Y2WkZdCvRG
BBNLYYDiZ9EqQ7+SY8VMFiWRGxVdsiikpfJ4WW33I6eKVU5ezKLXCFari2lVh+mDkoQvQ9ZQ0GKW
X1CzxbHmkBAba8VzZUTGKpYJ1QvVtMoWKr1DdIwj04c8TvPrZkr0XVV5bKVoQoyeT2RqXNgtnWfc
dKnLcUkqP8eG5uqir8ROa6X91CgoSTh32vQiCNfTldB7TAyluWZRTO7YKkavA+CVx6iMy5eiLQZr
W+Bq1xahR6ooqCBBTzeO2dKYSpMdTVqOGQTucPgGT4yGY1v1RHro7U8fqtaipbJ7PTh2dmWws/2e
FcRjj55Vr6QS32D9IHW9NpRk28QwtHoe1TVR0j0uwLJobigE+jcRm6FFZCYkyti2KA/k43jLuop0
4pGsH02mggdjTXMwviNRM7wG8U9et3f4Rjh3+EnwNFTgltTR0tZalnpHBFD5G2Wwb2ZU99/Mcbif
Wr02N5ZEjEgisLalc8LMXigGmR1tco9Rvm+WQVBWX4QK1pKwrhohb6tupq5DNMQb7yp2bm6DQFrX
eiyRUtCQt3YBSd1uFOn+G+ks9QIpY74gTtTf2P5gPXDUYT3xnfTbrBtYFb7zDBenv1IBc275Kfqq
HHClmqH5w0rs6hb3+/jmE/GEqbO3iXwyxujgOFO/RT7LHcttewsbHFWJ4nBTCJJ/trrAfAg7xLtR
G/LBVvC1e3wzGIqlsxGK2DZGgFXLsZ5mntHtUExyX5YSdn/fSOLEMu81n0Mmk6q3KRMS9gNbaMoW
sxdxoSMYcIdakL7Y9dkXyFE+O1yFenPa7HCHp0cvVOSdRQd/JSOJfy7ojF+aj3gsj/piXbUhrX2E
i7dEMAXXiYjR9heRg9ZznDyl/Rqh9fSCmIBFptt1h2Z4NWG5OnpeK10SzdtljodlO3ZGco/bUF1A
ry/Ipu3UbZW0D34LQmqwVEmkfD5um776FjiZ5UaI3pY9G8E9E6niol7ortnKWfsekNVN7Zcx+988
+9WSRkVsQFO8GWVUfK1BjZUcAcogfsvVKFLRXLceOFEvWlEtAaCGhe6hJa0JCj5NTucmTCpkK2BN
kNAYFXLOTZlRRl7aQeXcZGOVPGSpky3o7znbIKxnoruTPki9JsEOUb86sVWpSqPaq1P/3RKcGqDe
42IWgkNS2Y14mOJol4KSWnOccBVdj/Z8/+LFSuVT6rM3Nr3chyHUJivKHd9rPWxXuTrOen7W17Hv
XYJcoGQxc0fTtajUI3soSeWMMpHS2tp300n6KzMHmiRLg0JKDJLF9zS3IxvvVyANcSdURT/Wg/Or
HEzlyefTe9R1qwpWos4R1jvV4K1qHGXEBIh8iy23JQMaKwKyMKIqyGu7oAL4WAXV6TrhYZmbUzjh
aH39Xt82akfmVkj91SqjZI9D4hHcxOT6ktOtY1HI/7zueq4zYdBsgeRrzyTmk0qzX5WqpkDgc+kI
i4dSL7ecAIZ1CX5m+/lIJ1hU8U9R24GCwDacjsspAtSZpn8VtSEU9N/r9yL96LU/cOiTvwJ050Bd
Sd1Ke1JfA28+USKC/w+q98bccJewAoBBnHYPLKMBkaeSVGv55lEArTsUmNYvjHLupvII5xo29mX9
vdL9W4/CHDyzNVN6MO/tkI503aXpjAPCxai48PzOtSPAyXAQMijNIcb783WJhzbrRtJKXKxBiL77
/Ju082+fP7lLY5x0d0LR4ALteEc0vTlM6MFNOz1+PsTZl4P3T+Ph8HoANvnzOhwnsvtKbyq3YAE7
+K2q7/WcGOMJePZLoNBqKbOOpIiKWitARHWHU/hSa+fjp4epS1BH5ftzPlKCTVG0hpITCu8T346e
vpHLXovL60SJyh1eqWz1+UV/vK+MB9EHQZGAHnv67REHqNpjYRAFn6G9ggh8tALNujCffHwXDXro
QhPUd3QDcsvJjfW1BulsUpI46s8BASj586JD8ktB8/PLOTMSF4GAy5SaMEC+noxUhyFEdTt3mdoy
urf1lTFaD0UVPX0+zpnHpFlg4TWeFTPXuznvt68LwT/G+gr0wRSq6yp5VWxgXXG2DEvvAlNE/9hs
NP4Y6mS64KAqvXSmLLQdPBEzM+GS9hZIkMHpEMt32fQ4ChrTAHa8alWalPjUqvS+QsBV1g2YCgKS
LKqENWfpFOUnKZrmFO+FHRX7hjixnd8H08FL2AziSjEWrU/JmM1Vg7e5iZq91SXDTZ+3lLHGVpLJ
TtlhQfTRdOFCZzvlSe+NVibFfQyUQkM9dPL5QfxUDAcesws9s3l20ky9Qdr7Balh+JpOc1piggay
Sryv1YCBFkQAB6cBA6BM1yEpYUutJAxNbx9T3BrLBmBFlkNT6e3DBIsRFX1crusY0BzhP9bCqyJD
xyUG/ajqdGuvRArGdTM3XRpc/appbB1YSxytOMdb17GJliHCrbAcmK/BqIEKtXwi47hCh7ulK2we
p1p9g+yRXVi0zrxrBGtrKDhYs1j3527pb++al3YlbdiR+xIp9XWnOcaOpz64PrpU3Gye0bufv9wf
O7/YhSzTRMCF7IVs9T8HLOFtdXg9cBjaDdyBME/XpV+B9jAKSBU2Hp6A+suDSY75JUjzx1eAtjYW
QvBjSMhOP9/KHzslaGXmctYdXzrZa9+QURFCr8no519fJF1eZiMOPPx12kOnOcKmc2wzFy4WpdFO
o5JPObheKVFW7SDthPaypss2Lnqdyt3ng5+ZpthXAaFWBRIJms1/3mFMFcTv5Fnm1th0tmWfPfh4
12fER/XX2wBznqQ0C4WR5XxQtHIQrP1cixJXt+1nOEnwE+2h5SsyjL9+TdluIJhCGIUMQ5Un11TM
ni6/a4lZ01rSlyXVFyO67XshN5w+f/ztDTRVwh/Z35garaTTZQs2NjythEw3euuGqxRjltNIoLBb
k0ldX7iHHz9ABmNrw9ZA0NU6Xb5KGsSBbFOuTDEfAkN5Lif7RzQYD34vL+xB5m/5T/0BQ6HPkVwa
y4s4+fSgOYaYTujGGkWyNiiYOLlIYEGRMzVlHak2hOZ9fifPj0gyCjK2+aM7XV7MwrJJA43dUuv2
sVO85jATjNl7h6Q7WQStfv35gB/f/XcAofG+62DE+W7/Np2JmnNHQ7aqq7TtHouLa5rxbSjVC8N8
3NjMw8z6Tehu3Mz5//9tmM5WhzDkR7udois4KTNzR6Spsv78Yj5OlYyiqWw2oKthxT956QnjHIC8
aLFbQZlZcNxbJlH7y8rkMSobumo2TLfxEspe/7hSMioTB5Jd7EPEcfx5bV46NQ76l9h1ULUu+gT0
4DKDyX8YHFp1U0Ynqyari2iS3IyDJW4D0qxr1do2A1zghGbSpmdbNAHT+uJAmCH9qmBzMG8LsKuI
K7Qx8tHRe+n6JEddmOPPPhgbOJLBJO+gNf/zl6cvGSSUNxOXElW2jkYn2isDxY7PH8zZtwxdpQUv
Sge2d/ohmSXLiJ8nbgbmC7Nr56qx9mBbzaVdC7/t6QeLrpq9LfMQzJiTRyGgXWdFmTERQQmim+0F
u0Gql5CP52Yg+BPoEW0O5dy703um6gPxUjEKghqfjsUyNYi2WQNCeesi8+930ZwZkYmyZOC/BrL+
53B2E8oO1UXM2dH7Md+7KpTHtPKeP39G5z4ebCpgQLmDXNjJvRtq2AZTzseThMK+i0eNOrsnflBx
zTeVL+zvkJwjYAmyvrBUnZvzUMSa7KuRDH449FA/UQPD7GLX9/XbJlNep8jfFNETEKt7nv6F0c69
8Bx7dF52TpYf1IIJ12jJoo7dwsdTm0phHUl9UFaf38z36KHTN5GbaOksRwYy55N51Wn1gZTfMnYh
2ahPMCvyjYLiGDyg0SUU6K3+kazSHHRg092WYxYT/2gZ28BG2DWNhaS7FEG8KPHTJr1NU7Zto0un
21PYKvUXCgVgWeYv0xDsf/58syqsirAtU1abwaRW2JSvWjMbLQ273oWW/dwOVCesIqCSmZGOG/dd
vSPx+ltAW3eSRbMvejzIVJEcjJzkXDsB1/H5jTzzrdHYYgsKEhMg6OmCmGCgj8KB7TZpBD+KSWs2
aoGiyktoYo+vn4915kXU3oWG4PxRyp5uY3RtVFWTtA538rQfKgWHVSrU13okXxJWfbRGM9xc2GGc
+eg0jbI9OxpWrA9b7K5KxqHycy4vEi9B6CtLXYQJxcxqWhj6WD6WVV+uaMl27t9fKwHczlyRYoN4
OlOaioPmyK5zl7PaTSmxCeKDPCJLhocW+0+jLfwLW5tzT5ItG2UAXZvxsifTGN9K39Rw311FJXJ9
1Dpak5nRHHtih9xUcpD+/ArPrDlcIHsog4WNzeLJF5h6JFqHcBXcofORcJsktKhlXq4MZHH/yVCO
6hg28GJEdycLQmGZYZNmHNE0J8/uRFJiTbQaeRW2mnZh+jr3jhp8ULMPYZY8n6ykHbqYDFILZ5W0
fWiD/KcQmO9qnl/ol0e7zZq/PhwxgWG60AUMIIorJ49NGyi46/WUuRO8iIVq9V8qvN/k8cgLA52Z
mNEWq6CtqTxj45if529bxGICKqx6HAGBpTz7w7C1p/Lhwith8DNOZuU/xjh5J/BAkrgK/sVF1ast
THCb+1rU4oveSm/hJbDVQn/2TfYVidUy8h/zvrJQDNCwaW2ADr3WIonKQto9hBetFUPTYKGNiRsa
TbWfTDM46o4/LLOx8756hZpt0xqFBqfbcYkWztsBckWtrQ7wArUKwV5ED+/L5KQoLjKCjzZ5Wleg
egjl4gA1+LcRLIkNCjQiVOKwug0GK9hqVT3uEoFOqzOC9NCBG3Dt2HkIc8iK3OF4k1IrqhYBaiEX
hVK6yPupWHvkVKAYjPtr7O3hsg+hD3x+e8+9m6zilsZ78u6H+/MJyhLk7Ch5N9EKvpZD8woq49Y0
lI1BxLGn9Pl/8Nmx52azR/keZfzJt0AmbVYaUEfcpgzmmtNNr8e7vskubF4/lvwIbcQ+QeGPGgHA
4z8vyxziACusk7koSY9FEVYIh+zvZfxIJ+pAV3rZCv2bX2UXjkzG+XGp0nJHOVyfbsicIi1B+gtq
Ivk4vQSDikuoMpUjanc1WdM454wzAyTXTdyVqyRDKaQA7MR8AFxCIPUVUa/sDLVVNlpjZksPdRgv
XLHF+EEby4nehNZxUB/QA8XWRDp4o0lqLyTN+5p3D8oVUOckcAg2kUnewlT464jfZ9UkxU+E39pd
ZCdwDIceQqvQ+PfpJJZB3URrS7H0p9IQlx7FuTldQoADTE6ZwdDmW/bbHBGqtUizuMtclaQYvENk
nKvbWCNL+/M3+dxc9Ns4pxujrujSJHf6zLVFohJzI2eobbD+fJBzC6KETk1fgX6bPM2TVEu9yEty
212aTgRGigyAhP6cxwHC2nq8YDo7Oxj1Ss4sDu6200OErJiMMliYiHBkykkU5rBZbJCBIahsLuUd
npsIIO5RwZgtex82v8k4GjJCSkEsd3XUa0suQak8k/r8swkxbwXywp08xZHPG1lODxz55zKpbp0a
Raa6SLi/7NOiIQmweuja3p6ARenU4le5oQSuWZTNcigc40uoerCVfJTNfh5mB9u34w3YrfHRwheA
RtvzSWH//Emfe215zgZlJOq3zunGsh+8WokDtjl9Wfw0HP8p0Lt7SLiX7vvZcUg0Ru2Oe+3D5qDG
2B8UiHJcTqIF1ZzmNRuVfpW31YWF9Ny29d1bbHN+cPjfn9+h0TvIuBFguQ3CccDJa2h3xyoXe6B4
t0lePqSJc6FQce4F/m3I0w1rNJkJQh01dZV+2Ppt/tMxExSucl/ll2z37zEDp9sETqQ0ydg+chY+
OReBVjAhV1gp04w+fmuC4lcfOnLZEZW2pHzrLxXyJ5YpM/I6LGfBsaLN8qwK5Y/T1c8kQQXPXmnX
bqsjW8bagtkgaKp7f4LfaGdJsky92t4MVm8/2YJZcyHJgwexVw+rKZ5Lm7n+S+3Bolk5UXCFSkh3
e4MnsVg3bPlCu+sX6WiE6zYddYKENMFir4sLb+25r9iZnbqUOHhvTxuwCaQV8moKdn7FtCPwRluA
qX0WxXuI8XMTjv2FAc894tmegWPQoth6etsLqJFjyWbIDUtHQRzTVsVm4vS7Mvw5Hr6ehamff5hn
LpF1fXYbOxhxPpwuHTnaaaMbiRs7vrkOqlFCHWOHNkZ5/RxV2uSiQ3r7fMx3vcbJ24X2BlTpe3LC
h3qhr4zwsuwkdQHbO0sANfLeDDTAO8YoroI8SZ4KPbVXkYlk612nbAdN8pS2U7Nu0BJtlb5HMnvh
lzpTxESVQNVnnrWtD2dffxBT4XV80fXkoWczIEShSjM2UIRroFHSWPCmIJ8SydrxqwDmXB0jvza1
1ee/iHFmDpt94cgxZnCCeVoqVJFGyLQJU3zLkUFrZBY3h0YyHRFYZuKKx2Xt/g97Z9IdN3Jt679y
l+eohSbQDe7gZstkJvtO1ASLEiX0QCAC/a9/HyjZlli25Bq+9+7Ay1UlishEIiNOnLP3t9sMSSI+
C3BKBU1ki3xFuCbEoFwPzmDuJoD1HxJB4W23s/mBsriCKcMjhW0i36HsAYrYJV8mFJks2f1WeFmy
RTAoNsqo2rPEa/ztmHT+JoiPdp07d3Bbxyu+tjhRJr4IT0lAIEth+s/mwj/79Q34V++fCRgedH+Z
0L9vHNFuAzu3hBX4RT7eJfhzz2CMpU+pZSS7v34p1JdoDXCjs20sVdAP1RRDp6Ypl20prJ1kI5tg
sfSMMj8PkyJ++vW13j6390/90v11OL2yDb4//leGV3RDmXI46F2icMi0JApnnsGCwt7qN5VfWEeL
cMTrdoSqYttGfGO3BjlsTiH3sjLV4e0F/SXoyX/GZrivEZ+W/68kWi3JOjxz/0AJbF7al//6UrVp
O12+lF/++2+XX/qXVzpn3/7b4fW///b9r/wdekKeFUFRdE+/ZVaZLOP/yLNip/w75QQ0Cl1FnwAh
8YZzoEb4O+XE5Y/4juNkXkKo6dX/FWIDrnme0x8eLeY9WL8J16Jlx6L6J0xO0griqZR0LvxI+48T
/sLD5FiGWrlzYQIxK5uGTbQ+h8fSWCuo8P3WnKl8B1bhPULZ5uQSrmJ/QPmcX9Z+AbG4GXtHrG3Z
jO6mU2J6dHrR4x4lkreNmfIkcrLHddgHSLslugz8cknV77thsm47R9fPVR/1V7g2yTINUOB2gB6U
P+NHUsMuLRmE+SorsWHmyG19nGB7L+QlrmSSjfBK4lpkG2MiAlZMk0/3d0Tff8ZqOaNrzDPzU9bB
plwVU56/Nr7RXBFe2JMAQwjLFXYdwngatkwT4yzpviuEPbl/qCcl5h3j4FHu9WTzp452pX3eBVgR
m8TF8hKjaMS7S/SycR7wAsn5jWaD/kFTls6NHUBeCEUW385ZTtO6WHIm/KLdDEkJ4jjSdb/P6Jec
Yf6tsPiJeo6BWbbjtUJbD0hOqJH8VSe3H1opiQGSmyEy67Y5w3CYdvsysmPH3wcYedCTqNScTUSc
parMdY6J79LB6swZt0WVcBDfSFTkAySIOxd5EflkaVCQ6v3EYUBo57bPsYwo+hSAasAR9BiWvkWb
LPjmcCXrWOGJfcs/6ZZmG3Gbb8koESlh+CQB9w04ltslPqXper89aQD6ySZuzEX+Y+rBio7ArYsI
lY/ulwfHp7UzZu5MOg1eulVOwnHRn7ff4l6s7+kvSut+mMtVPoCgsz7E36Jixm/BMe3wFiPjfguV
+esL3n+wlP1na+L/RRF+jJQC1p5/v+Bd1BUHoZ9XvG9/5+8rnsmKR3XETkkVTOINC9DfVzzLgwAV
mrALaNGgQbP/uQD+Aj4v/nA8QROcpj8iEEqdv7IA4j94twC6Hmvg0nFzGHwzbnm3kcu5zu0ompIr
X8rQWhdvyOshgX7tNl4+nfkUMZjH8jhZYqoceRG/8bbTOHnVbxBuH6eqXAdm0gD4nBuo4zWn9s+z
skmKr/CqrMQC/a6bXBVPKf1nUpdn8zVz4jFcWbgukHajepk25RtrHI18/YAozrcPeJf7/nx0UjVc
KOlVWwblxPKy/mAImbz8QlqhWJMiBmxqMk4UVBKI8oJMt7JqxjAwqY99B1bdtpPiIPoR0+7EKfML
cuIO7sRSqIbEw9lbpF5ushYLzJ2T4oA9tPPPDJrVh74uoVWptBrx/xh7qKZAIIHEDwstnqzutlyX
Mfa61TTN2dPoarl2OpT5gFtPSWilkC9mS1nWZgDz3266ushGgp4d5WJvqVgfiPRVGhR0lHNI4pPn
LptzZ12n4GzPscLqay0BqB4Hy3c/c0emY67DLFL3DNHmQ6sE2IKjr+Ix33LoIBB+8FikVSCTYmtT
Dl3UuEVSUVATToyTqp034+ez1oNISDc7Y0CGE3tc61z2nX+c8QyASl9bmuHPSGJH3mUEUVO2jzQG
rTK3wh4DNwMgD9mihY4iP6Ay9H25kYwzn3ukArda40MvOIeNrxgMZPY1zCz9lcLaHpxLu6IPZ935
ZWTtvDb1CTqWC8IUYPVCMy1xHwxxjtX4DXnqqzziwFAAwkhFWDkoNPMb8r/U1lwgqtghhiuGbP3K
TFPSuIoxrzfTgmE10FOfB1lek6JmsnWlmHXyOrmyUjnetl4n0k1EDsImDVVS4bdr4/OAHDFBzcjd
XtsYBM/MyuzRTnK0OnBeV7t5ocvWtiw+24BUHLx0GhitWri07RuiNuZwQfotNuBzTc7XSjhxcZ6V
aWadiar7CCK3b9dzLdzrZYQG2xRAGt1fYR7jhZ5bjnB0qR2qjc/lLgpUentrtsabaqHvJm8gXrEw
ectmwfOCqMmPthWTnYOwrd8EuVcd+sF0L1Owq6Dl20KcvAX/W0WzuZrxrG/yLnnhNRKXsiCDuyK+
9BKNea0T3glyjKZVDHaY7OOQccLc7yWgj22+4Ik7y5cPmZ4v4We4N8uTfRVZ2tz4poMVsLEuoFdO
qyQl8j5w8HYszlkc5440v9YMR6/qBaEcy3Q+qkYwR+hzAMsF4XBT6sX7LOuJlUvBs0YNuTX2wNRE
egRFxgK8vecE9inI/ccZsnO1IJ59I/JO+YJ+lmlj4CrSw5Pb1FilMmxcZA079jNGEqwA3TTXhJgV
pnNLtdlhetLOV8MPEmyV3I1dvlCpu7b4TBMwXKuU5srG6KYmXOW9J+7kksYLkaCvP4tgiu/dTOCs
qXPlfmoXdHZFRgG/QxqHIijstYNVfNnyi8NgevV5Pjbw8bMs20Y9IVTOgugeXeZFg6z6YNV5Y7Zr
3RjXuN+1BGGRXnrfLvRvwhfye3JS4e5n9S1IlVO4AMPdBR0OKQaKeLAAxQNlpOGKblbwilsxuQ6L
IAUNVlevpKWFeE0XTrksEYZsp1qYqwmOeeRlt22pAurcftzkPN13llHDPbcWBHq4wNAHqOhwUC2C
4NyYeLsFnJ4tCPW6M52POFZpIS2A9XHAg7AZUaA8A2oON84CZq/fEO2+Gp5IHMIb5WT1hV1ItHy9
P342RkDvPRz8r3HO+CN3G/AJRaL3o7CdD3Y1l1fzAo3vF3z8tIDkrQUpbyvg8oyBzMUiSsyzbtC1
7WqqVVidkOoDGj4bgaL3NgNq0q6nhW2fZJ0BbaSNv4IXMc+qvvKfHY71hBzyaKERhZGfUBKSIBhD
z68Wjj6+ARIOFra+DXUQwIjh7ERs2Q9xE0rcTW5yXkNnuYaY2m9a8uG5swvQH0dne8eYrsnWzQL9
h+cM3yixFn/c2Hgry+rtwwyho1sLm2ipJU7AImGIAaFdX6CVyNaGQ/bAvKQQFBio6Q6EF03PSB8Q
4RJb4OARvEiWQANriTYodG/fZ/RqL/wl+MAcLCAvhpeEtyIc27M+aMdDPUapWNWRWByoqXmlepk/
lWHdPMUBiQtVV0SPEmj5sRvxZCVLRgMG3GmL4iTbA3OYYJrgxTTpMCYbwbut12Nrm+2BqGxs2bHf
PQiGhhNkHSi+RuqCUF/yJBozMa8b7cfOliSK+rzCetOuyyWKws2mMl+nyrK3eAQd7mM7fBCj767c
Jc1iGpdgi2zJuLCWtAvUgKaxrpcwDPLjh7WXmeETUeH6zBQzG31QmWBedKzTnbcEbfiplPeR36t4
ZbikMK7iKEgFDufx1C2pHVouAR7/Wxy/nel/g0C1qFx/VRv/T/Hy6aX8qTb+9le+l8aB+GNxGkHB
RWqBhuuHZkAQ/EHkE4g7dHKc0N+UA997A87SAPBdJgc0EgjSAtn4j96A+Ydt01sIKYsp4RiM/aXS
+OfCGJAk0qvlVVC+I55/L17ILGlzFBTGWWgYIlulGb65LhT6N+OQ9z275TJgI0Hr0bdbhmy8jB8a
abOl1USenEHzVFj3eV1OG6czg6ty6Dk9/3D/r7+1Nf4Lk+A1w6dW//ff3jfJuRaiHbpoDA1pki5n
kR+vxWeRMWRwojNILOGV6an+AvGgcy5QFVxLryQF6NcXhLT8p7uI9ooxJSxi/IAwK3++5JhjiLVw
5J+xQGKSjZq6PdWqg1VdG2XtEh4zhI80ixx7ZyI6dzB1w0rYe/VgV/vGxWTk9j3Yb+rSlGqEejqs
R3gvU6jMTxXJCKcmBIjSRHG4H2aVosqb7HUVjdX5pKzypsgLgpgM1T5YrVedhz1zAYPotktWtvRS
xBkzaSeukj1cr/KQxnraNq0ub2xDzF8o0ubHJBfq0ZfxBeeLlIySglxMWZhoWpz8AjGKF7DROB2z
yq78OjtzfTVTQj7YZpqtwDwXOxdqCYku+Iy7uhrOzDqqgV029j7ocUCrZhq2Fq3TFTGz+uhbbX3J
GWZYkdHqvJhFTMSFh45rJi7orKH9H6/EGNJnDwy7/qyDsiQSpByRtM247s1mIJMVWOLO1LZ6Jkon
HPLNmChfg2+bhnjQz5gq3UmfkkpmO79CnbYeIp7ztZnUAAxMp6w+dcqXzxn+oacszO3bMDZDPMKm
Dl+zQMP9sHBMMXOypxqpNEeIneoDc0H5OMmnPCkWjD2i/iuz6AMwbCImWa8buiMmjeExmOZizaaj
NrZd8OxltNOQ02TuVerAURlTkx2TOMmkCb2ttkz1XPp1v6sB+OzYlykHx9orX0njSvZJlXyeFGLH
GCfZMQ4DrP3WDOtoq7k5SRUVF01Rzk8omI0bh7jSkzlHi6Z6tPKDhwXQ2ORpFpkMtY07AcP4EOE3
PcO/rbfOlOYnM4u711h77afcmrJiO8cz51CjTcNzboHeAPb53LQF4p5BXeJoJ7nTL15NKF7EvAgq
lhbyWh4/hNrAHRLJYm9IwGI0xjhyjaACakyfkN1Sj05ee8wMJUC70CZce2aQvbgBIAhigj46hNRs
ktqbwFt4zW0EKu5E5X7tjsNgrRilCx5tvj2ja/d0yQSJbFb/ZSTXaOcqo73IqaxAogFK4ZN1P0k4
F1ckvNqbHCLQbeO2xrpqg9umCRkMuvMHo1Mc1WaOxvY060uD3O3tEHrDXVWF3Zpc6n43kVtUDeUT
IMnaPksx4fRihY05mT5X7MUEJfZdR1gyJ/ysWE2BtBdeTNZv8rjM3S1hliB6KJK8+RQMSBkPRWjG
EynBdMlMWJ9GPD/mehB0SUcbPl7MjUCC1029zu6FynAvFSsrGxlo3vtTm2yBL/nxBjwi9TPHac5X
Lv22VdjS4NsP/ez5H0ZyPYKdP+U2R7pg4PgC62gKdjojS1Ss4rL1dtSlc0wH0OUnHZn2HJEaxdCs
pps4XMeeEQfOSiJYSo5hZPQgUHQ0uM+2TIAXrkxQS8l2QPNjP2bdYGByZ2bkv/pjwgeVtElrnGN3
izt1l+Nug0VrhTp/NlyZ34V9me6VWbEM16XvnvUmszs/mghdihybQBnGfc65O/a1uRqwsgJbMECQ
uCQRnw828TsW2N4zuzRMfzUyIqGlMofWvU3IarbSzfKfSRmM7ihCh8+eXTFKgTomdyJ3nENdjFy3
E9VySCywWGizOk9Jnti2jA+rdQlTmy97MNTHRggCYv3et3aWp+sNKO9q65L+t8aaAPYSJUHJJxCF
H0dYIOuGSOy7WZsR0LbK6OQGT1p5MzpCfhF0X0+8kDTeASOpj5JMo3nTeXAqtmoa6gNpuuEVGX3e
C14HXp9T9BZx5H55Ywy5n6/zoOS1GZ7kz1yjLb8SIlo8OiaN4yLPvHkTzGV9F5ecS1eaEYPF4pF7
Hd/b71DevzQT+v+xRYqbajEx/PsW6WOq4rRKf6oDv/+l74Wg7/5hA7tnhPxm63+zeHzvkQbOH0jY
BOp+HDKBi0r2Hz1SJwTrjUIek6mz2Azh3f+jEPT+4LchTEb/Rklle39pSPSWNfrjkIimKO1WROQo
rrCNMXn6uYhh10ELPMXWWRBMFaOLHs2VMkOi46upOaWDsx2rCC4Uiq8VI5HkwewkJn3TqUlti7tL
UsoW9kNPGLUfWdFW+bgkEnRER+VVxT3O9CrCzh8cmqi9j/poRNLVNS+mI3OVbhQ3+EEzXn60YRte
L9BQEtJtQ726UVUf6yQOT3Bb3JdvUdVgodwXR3r80OJAeWy92viSj/74kDt1OX4Jof772Tmcn+Ey
qf2tKpHqxWN2NEkKC/ZeH1X3gyPoZa1ioxOXXUsrbcMigvcKU3tLkDxHeBkQT+lzCl/pkqVzgwZy
vLTUWGxUngQfKbsC+6jbPuC2QIY7s8YhPmXSIl4694D8U3Sj6wwwFe6sxoTtrPNPgu/yMR74qqJ0
JdpJifyDyghPJ4hKbAzfc9cFHtlHwB7TLcUjoDehu3RP80JeRyHQyv0YJeJgjr3x3Ooi3XR6HB8S
k9Mr23xBe3HuG/9R6pQ+nO+NZB3PaiYeaKQGaHZRGC/B8LNo7SucxWQDG9j77lUTiJcOnN28Aj4k
n0XMorUU2vfj4Cx3OUfWA8+SpTZ8yx2f7MG6J82N1mYhXX596yyVgaKLd6mRT3Rrv9USRqOsyEMO
3J4Y8yAJKxZN1VT5bsA6TbJ0YTvrt3+EqkoEeUQ/zKO3VPFzLLD8HdeZcv8kSWN5BglfEl/QltFj
JgLiYdzOC04t0ezpqkji2dqg0ggfA5r5HTt9FD6iRobFrIIe23SoOHqgvOdtlF2f7gef/Mr92OJP
dpLWfZFEw+m9aANFf33U8zGsJq6PS7M+2rEFEQfBCW8ICxe/p1EiO8IeLJJzWCC8gMFqxnjrxxl3
t+wj+VxgHIk4mvd5yX5NO3ITUDZxTAcAaV9GfUEslAbAFx9a2RMuHddZ+5plNYE3+RIHL8bl19K3
JmGesFoSymuDoNN+5Rkmf8BEb8kk95Y3H8ztkuptA/Beq2E5OcyN7xyEh/lkHBM+llm38tnDk7UW
BuY5clBt8zpIe+/0dkXPp4DZ9YbnHIaC7vGKngz3NyNm/nFQOUnwjqBJBtzO7onEVjC2TJJRg7WI
RxDOppLPDYFUPXLbUZ2R6uqKmxia4zZ3mqQ+pEw39DbyOsehcYSofBU7BW9rKoPgxC7lPYk2m4zH
t1eJZLaLz4oJSNiaoxgv1pUeTxnZGtZlqAqGlkWuSbDQ3rCEYeA3n+/agYz4HXElfKS2udwfzMmm
vmynsD6G7N/HSdX8ezillAlBSLW7aDxT2uUGD0TIvgtjE/YROGtw2iChrWmXNrL4Os+0WMjOMpZn
yrKBV8WuEYCE73qqBHi9Y7dOZD6u4R+3GPFDG0Tm7A235gBXtUdO/OzwpEGjYmMOeE6rEgavCOUJ
oBpcCTcgYtSGVL3Stg4RrFUgvSal/UvP9KNjFk7hIx8mGUtY0a3bLJlaUHNKy+dWdDoiUdUe73qe
YkbLQbmD5G0TgBa7N13a6s8ZCnxnxVklfCzCYrwLPAJAiBzmwbYVsYqrmBtw8kwBTaAqc3iFM0mg
eg04qeCYGlbUQNwy0IhLgXc2WKH/uWGoTV+vqkmkF9FgsDjoXBxi2vsHjh/c32lMokfl+6wgNKR6
LlgOVwPJnFsKXTvmaIHQ2m4iKyToXMiDQyt7XxcBvlDFjnFTWbK6ZUblwcQAogkSMk/sBw5//s4Y
1PRF+KVzHqk2Pcv6wHotSJd7DOJu9HcmS+CpgVr+xSEc6b5z3ekgcZ5sOddE6zo1HhTHD+SlQm+q
Jm9rOLVBup8sgqxsENxUl9XAfwMlaQbltK2Yq9D2jHO+AUOhj4FLdB/RWP4E9nqOnOeJgKljO0Sg
zBiOWocOcshFyeFz4w4DDTqSTW1vnUazT/JLc6k8VX7BJQsmeA4UtLhxaqbziuS5S9ISb60Shy6R
WRbsQmJDtXUq6P83N7NwkkNvhvu290YQZBBddJODv+wwkudGF11XPX2/FjZjlQIavLUqmIzxQGBY
G+o53vdd6pxkXpn2QwQL7XFICnVXDOI6cfvmlgY604NYW7cRSsC7ym9hJHdjG1w1aJXOUr+QWzNO
zA+xPYxIHoL7Oba9pw6VxL4GWrpgoKs65PshC3nWcy7giz+coSZGwSHta42pf+WVMnG3BV3T01Bz
Op6ipjVvdFLX25Gx8rZYJns6w0mwSnokpdj6mE1RxCbDx0iOZQHHtHOznVl2HZy7pii6tWGJYts7
Tb0mqLG9t6s8eE4JzNBshY551WWiW5WmIQ+95/BUD072cWR7PzKG6y5p8n4cFKlwUhMYzmRglAT/
VZDUNezmTY8Z824Cqnqcxsy6yS2v/dqLUX2cwrhuXsaWg/9N6tHwObZ06w9xAVBFNuoDh8noJkmg
jOdLKC+hSOOpb8lpKzQlje+p8w7+3ZVS4Na0jT9jNfnll6KlfdvMKVMU+Js3Wdr2z0HqRRvqeu86
lCEszG5gUJFX6HWYJvvykgFRfmFGjV1tQNMZNyKv3Y0vumHL7fJXvfDGcwkr92PatWLt1pIYWGme
56Z6hDDab5OM51Rn5rNlx4dsyPTJQA/+YRhip+Q7Nylk6drCmZIkRx2L+MoJ6u6iI/8D02a7yn0g
9DTrO1bNWo7iNKA04h0G1tpOkKXh07a7ls3PuPQEj4qZJqdygHYDQv0pyoS/qBPLlbJrQahim29I
Myk2lux5DmzwnAmMbXaKMMJvIRgvVB5b+A7bKgx625bOTRAL7zoIGUrUSkCgVRW5pRo2+Dqf4ff6
bX9Rq9xdyS5+8MzGOlaMkjaWQ0p6XE3uDlB/ecfsiaFPRvmxA6qYbkZ74Q5KczRWXevh7ph0klyX
oyLc3DGne1Op/jhpx3zCV8QC5cX1BStQj5JHgwBvy/DGaU2milWX8K+2kEennJvbxC0LnE6VHra0
yDjKJUNtnXci65h/eeZGRd4haLPgVOfx9GBqIgDhf3ePSZd8yKIyWmP0CSgocOs99JLcel+P+Doa
7ZzD90EEacbwGcMk2Hmdx+fQEgPoreB1MukO/M5TOzi+Lt+Ess3XcnSbnUg7dsciCRHw+GWxl4MI
HmXIG+/lqO6irPYRgzZRtmU7JIua/sGmKcJ8FUTRyhwVjayIqclKZYnYzFOsj7gEaO2YydQdRyXI
R7bt0dnxd8YLvxzJ3fNZb14zzO5fCY8kqyInX/YsCZlMSgZwZyF6sG2xlFYSnxck3omQbWGV9boo
M2+bGo3cZlWfroMu6C4GqImbCBX/eupJegCqax9z8NGXsw6k88D+ll+0FRDsfl2GY3mdtamDBsCt
b7tyjL3bAjjqjKiJZMe+Jd47IOyAFphtxrvQqyq+QCa1YO5Z+VXMJgvBfTxVudaEiufhuM50EN1o
yoBl8idZedFafPDLHsLz7GTUWCJ8jjurvp2jAXlFGSdkAnfTCT+de9mQAalAXjYGcgm3O3fqoj2O
VjPtgyqFiey2+j4ZyvNmaI4ymMdNE9rNValrTVPDN/d926hzC6XoXsXBI4XasPO12vS+EjcZeLOC
UVOe57tsLBnP62QerB0U95n+iiA8k2S3qs5obnozcjxTfhpR1dN0DW1kBoRpFiuH/IKAROH5lHfK
KD9P/aiZ6E+ENya0oLdMud3uU9DKe9nhzvaRj3Qisvdo9B3jEI3evkkc/7a2iicJmz45VgUprien
Ml/aIZQXJNyDXA14Fg75AGeU0f2Ub4M8S/zbEMWk+ZSW/JMaViqvouta6maH83ellpwMOTzNiajR
Magg9q9jdIjX7H6HtmQH/R1faDn4/qCeXLACLlFHaI6BPHFOfze8yCmWIk+b9Zk7LUcnN80oEzur
oHL/oWXwLyYXyy/604WgJbAjCHJy3luQAkUxTzZ2fVYkhfvCObUst23VUKvxMUC1TbELckwYqUdn
Ftznv3r1ReBPEBGe99BhivLz+V8ak4XBZ6zxJEn7Hpx8sEmbdKKUKNQZ4wiu6rV02NcGKuXvWXH/
NoLJeqfQ4ibDNLIXrTUmQsxr724y7m4jImimBl8t+e39EHfiws8b+77KNCcouDq8+V5MNRkwaF9W
JllNnAGq2C/OYgJ4fjOx+tMUyUQqxnCNpHOGd3+yg8Xh0E12zGHGV0ocBof2g5smNhASX7+Gyvpt
XOafZkjkJFoBqEfmRwRCvfdqkgg/Me7Db16VKjzRQoU+ym78ktPwS4im7z4nBb7gy7gPOlIFlOdE
cPDRvJcXRKEUbHes5mhUKqGuStVbl6XhzfJc2Vb42Cct6HSyGdgg5iqiVi89/WrGphPSxRHtfGd7
BkCpBhz4Wdp1nC1k5r7Ubj+0dxq9n97NrWWREU1QhiM+zhwi83UUjJzS48h1OODFHEBzton70nfk
M61u/co6UX0N5r66w9HFMa5tND8PZEE+m6UYx1PMgdhYNkyTU7VlRHD8dad3i/Fe74O4BgbJD6or
UUt8lyqxvJFZSVA/vzVASvQ431gK/9ve/O2Qe6HX/fvuJkNunf/U2wQ5wd/4u/zTDv/AthcghINd
xHeFL++31qbl238gXqBtyQMd4uihffl9xE2UIUYHfpwF1cVhtKw33+XvLn/kmjggHI60ULoc8VdG
3O/En8vLsWjrsEAsyFamc+8WtsDvp7IklOULKcvo9BiVRY65GXCPNe2GqAh7eswKOlk7PYEbXCPs
c93PYwSy62TVBGPaO2kIei15ExiMAqswwiBJtmeejA/KLA0AsxxiwbKDyx7j3lhzPGvIKHEKZFnO
Bhu5tq9Q6EufBGlTGsND0i5BLKCX4iXgZApTm+2vM12SOHScNgz/6KCEal3QywmiXdVnpMsQ55RE
lfFN1/HvF97FqvfPTUd4C5XBxlzL/0g3QMT787JP8rhVt5D2v0g99CEZobGfLNxCQS7GRRjTAjDW
o5VW5dfGU+l0L/Bv8tJsBkG8n8oa4vHhh2frX2yD9p9eEhGTWHvAB7r0t3H+/vySlo5GWWsVv7LH
ughgRRoTIiK6RqeoUb0U6TjBrImVrXJEYmgEMzw5/oqo7Dp/qUc9NRTHHdnUWJB6bSbbOYrxBczF
yEexbds5YeCtPOJDtt6cN97lPOcWP0amK4P8FZ7fzg9/IxL4uYgQCASXZ5D4WA7vi1sQGfSPqgQ0
nGNq5EX1xQRg7925HNPr27KI6vn613ePb9SPnycXQuS8OBI5DXDz3ttAJ0ZI4Qyx+xXJPlwTHGlR
jijONvmGj46fiStC410nWbHdFEa7llbs97cMEqvs669fyc872vKWF7U12Ds2Ut/7EwXK4mQL+znz
XntNaXPpyikDA6pKw/Gdcxpws+v95ia/v6LDlAYMLTZnRL480suD9YPMpGL3G1K7TZ7zmqDbc8Sz
bflgYyRQJ1u3vwHvvP9EUbO4Pls2Oa2Lovz9hu1ZZpwmOEA/9jTE5kc381Uwr7JMTqr6zfuyf7Zh
Lr89QMoSmB4pf9zW907TeBjNoqh6+6HSLWkBUUczIt7FmZPiiEyzoZMOaV5zyf/5xtRSIo+gjx/p
GrsqWMkxKOhVlrazfDPkQDleE/glRH9vQtSBq+Mn8fQ5qbOEB0KMBt6kVcBIJaXpFHhdKOmyRvx0
T9o8b87IGVkBo0LL16ysvoz5WINF5N4cDAMiIBHcNYEoF79+nN7db+4BZaEDZyUUtDtxFPz84bpu
3Ial140PXZkhE+b9xgZRoFAzivnx15daBm4/fomWz9RZuBLsWNibIT/9fK1hOW1IS0T3gajfrtXR
g76EIpHzVjkv+bWz+fZUF2x/3IVqrMZG7r7/m+rJ2EgplE1urkt6OXLbzCpkPRGgocGoHIwc2eZ8
0pFMPBKd4PMO+8npNF9YTjuR+yGdA6ftdyn5SWTdVPbECW5lQL31ss0cmDN/hmp/+cBnN+MqNP1Y
7/xmWC7cW4PP3ma4yfJJZtZbXo7fN8vn3ipy0pOtHjKb1929Pbvonz1WhChqG37hZJUDyR+/vqVv
48N/7jP4zxgvojKjFCC4G9Thu4+v4R0gn5HR56J3/A+Zqlx7Z6e2e+blgRRrsATtjjo+PE5BimVI
igiuBxONx578PXJjIPfsQx07qxAtg155Sds8wLN29HUxauSUSdAj0Aizm7Lyzc+9FFquPGUk09r3
Y++Kk3J9TMxUX5hTzJALXyc5NQb9xqfZD2RPO5kzyEqizxCbCKDNI7HgyEJbjq7DWofqWngtYytR
GNjokI1uWjk1WyvkFSa6EOdFYdPTyWTrBps6H8ps3VrFR8OvXfqHMQOJbm5Ma+NI5d/bdTC8yKS2
XLi+XnIg40xrbBcVQ0nf6R5Tx0moMEwDlTxnAPmcd6F+JexT3ZGMpb+QX9dBcuiyXWWJSTLr0h4D
CMK76FmJsj/ncL/llI0LnuTy7KkLPDToQYQGnsZ+fT9naFagiEABrtD9rUGr3Ih2Mj/ZU6s/WgwH
H5LOZa4xeuUx93W6FemU/oZX8PNizQOxcGk4ZTELhEjhv9+oaism/8ONq1c+r/E6tCMMal5RM5H1
lOn9pqb4+Qv97WKAXil1MOpjg3y//c4CDZgKq1eGKiW772jeIwqxiesp84ueUHUSN+O6vOkyB8HF
rx/9nxeut2vzNtkFSZxiEX9fYXUugX3I68rXpqo42mLXZdZWOhYl5a8v9PabfvqOAUGEuAyfMLSQ
iC4l+o/732iXud37SfJqDTXfGQcbSrsi8HbpaiaFf1uRRHiL/wASnUkkkNw4vUyLfZ8SIToWLQUV
ZbB3xZAiPK+Mxn9gv9XpCkpu+1iW2l7bbYUn3G4tcWP2WfW17JzgVEnDv+ntyX4Ks07RSK8tkwZr
Tru4BPW5MvzSu/aGfCi21hC6Z6YKp9esjlsk0J3aWTEMOXNsnfXM5/cb3uU7SD43fykDmAxyXxhR
/gmZYBl0SfE0zK9Iorn5Seoke6f+P+yd2XLVStatn0g71Kak29Uvd9hgwOZGYRtQL2WqTz39/yVm
RxXe50Ds+4qoqAoK46UlpTLnHHM0GAwv6/LUOHH16FnxshuJm6w2qrMEIhacZna/fzKBufO/PBn8
qWGHEvtFOjzH+JsDxSkTdC8p4TUElFQoHxo4BQsGMTGBQNU6MGwAwQ3rAZ0Y85uawX9bnwjYia8n
KaZhAyPSQjOQ+idvJQw9IL38S50PTYC/uXWNCW94pT19bLzau3dWWb1rLROEJhJFMsk6LOX1jGND
gldhbOA1bwKb9fPvWhQ5slHJHNTuglOetvJdHQxIVtukH581oVQfMaIo76wG1uNGLM58QFwAKcvr
8vTeWLkW20zZfIFsYZo3DYQlmRFqgY0rZ+IHn1npVZ6RoefMCtgM0VPwJ5dGc+/e3lsfBkzIIUUH
+tbbZrQTY1kdJl9V7gc3JrHmk8w9DcVLGU/22WDtv3+cb9AqVhVsHdPP2tC3KW7fQoLY2FRdzdH5
DUmDf4ERPCzmZNTWZSxJ45pt3qWdF6TdV+nZ1ac8XYYrMjTtO2uKvcPvr+WHy9WvX59Sk+0T56KQ
Hvet2Wo310EfEbDzLcWjsiJxuE2+tBA+pp2qdbBRtmvMkWscITdD4GR6V2QiOGU0mrsekVu8hToD
wtS1InzIh8qYb2o6o8bqs+tSEFCuPFgvYszScxoQAbJp8QqZN4SRuNkmlYzjNp0x6oSkFsijxW05
FOVgXUOYJl8ynUPmy32mb/Uyc5wVQS4PWPgbOoMD97RuFaN8y6thQGKQ3TBQmUlYnvyi+oTSRO+p
RfoPA77F56yuvA7fQJKTWImFs25Fbve35O+RGRQWbbts2mVIyEatqpR4qlAyIUC5tGlzWCVb7l/r
nLFfnjGQE6n7eeja/AGy7kDeq5vD8SF15E/R8r/u/fRAULRMkgSjeZt9+e2ObDkpFQC+pS/VqDrK
P6WlKVqnaE3+pTuM6bdYiD5++qxNoMvwzRnn5k1VAsq7X0kj73P/G0GRnAXn5EdlyMjSNH2VFiMw
4e+X4D+/JF0txiiCNRgAA73Bbr2u6ru4KPuXxY6xkN6geY+m9wkxY1TLv/+oN1R78yXBZMGJBUgp
cNLbMpKn7JTz5NZfqbmCOqTiS5qPuPmBmmyHME1S+W6J18Sur1oig4W9R3FTrp+KPpSUtijbk4XZ
FfO0+K4oRIiHQTY1bkUEWdpF+jTOvl93p99f9K8blFkEEYaelPk8HYyn3hYA1IiRu7h289LooeMq
Oisui+8TMvrggX1e0EyQmtAOf6oHnH8+mJinApjOPuVDYHtz6iQk3i2yC6znNbAcd93CP8wJJafe
zTp763iV21cnGvcyJFu5gsqzU13X0e7VFkrY+7xeZ9q9LFrW4TltnCJG3Cdc9E219mlp/nCXol8r
QlQojgiDH68J52QE5/HX8iVIZ9nVY9c+ZxGNAY0LecDrLaWtaaxXDXF6ogWQvbixvCTnbeob3wee
aoTWtDRx6dPFsgDr4jvzGtP6/GyfJsdvi++vkJCfSPCOYBlT8dCncUxM9kTIKCuVgOaep9Mwl6d5
agi25YlkdWJAIzbDzHRveqmiuySTw/KIHTmg5kYtq1FTukVhumF7zYUqDq6vAt5vlc3M8iR65/qb
mEfEXhtvSPr1ltc/Dh6wyWRpdmtb0Ns5JgUNR+lmdB5IYJVkcqKcpLVdBy+k9e6UmN732Lfxs1kD
7wWPjUy0PDM3w2CQ5FDM+Eu9LRBnml4O61q+jAkty9KDzhrRBJufTZ9w8oQfyUXY1+IYTEs23A1z
WAOvabXgS7ftGcGy9xZpzEeTcxbz4wg+zKdZqaYV9uIyV48qyoPpBDKgkJT7TaSPRqDXXGbK0uPF
uIwLa2mJGOvoXT7ljr6E02L6aTsZDIqnosTlbZMRahRC03xM4QnPe/0CQTGYlpfmIKblte3E4oYG
Np3wZY+5OJtYxUFgkfXRJ5Ca9jkmITRdvSwL5Oivv0NJZXV7L08Y3WxZcu1MKFu2BqbxBTrhoxfi
UooL7bV8p/T1rvplOXPnAtSW/MA8D1l5wQhsBFQhgdZ8omcZvbeWiWmapSaqVu/Y6M1yaeMBHM0r
W2KE9wUq1Pp9Q6pqGB4K3BpZLpKMb96pqYljVk3qIvXWW2+x+YUcTeieD0M6lJF3YflLrl9UvUzc
w3aZCjP3ZGPEeDKqMNkHBghHcB2krs1Ez5+ujUGTC2fBWnCnYcaaL1HEUizXykumJt23FgHO2SZ0
J3aBfbd6iK/2LcYIXEnnKZ8/QftX3nQR93BHil2LnpZXgaYo4k9WOoScXdA1Bi5J8+35P+exMNcC
7wAMYQvNmVdQR6pkpXirEMhMwFcMlbDOI4MkJxMUrZseZyswjtHnD9uYzCMuq/Bjc4/VVHMHx2Um
13OzQpbkN1WA0v6pGLDaDQ+pbawTtwbsn+7Jxua/lRNVvMBhQR98A5i9AqP4c857rju9ms0jgx74
VCivM6+0j7qq3RGp7PAkgh4ku9kM0vGm+xBJB3cBxrDs9Qkvhb7APxYTL36h6qAnV1uEPAYQw7Ah
J0tWlvHqEE8aVRAfd4V9H2dBHk87YEMSbDHGrDIi2YWNQgUHNekdhlKnvr1jbVdYpUy2XG8DrReW
PyAR7eM+rhmeNRQKcytuRMAUH6NaNBLKprQD8HvXOhn6bcJ2R/OEm3xC73zAPBpzw3PekwFLRGmn
4OWCqfS9NV+WSAm4xsTqeTYQukhrfmrwiuPLNEmh0/YD9MfEb27avo1hZQs79+nV2IjZbvYDoz1N
3KMc25jATSYJy7RJXDFkp8QrsHBPN1EJSoUZxhxYfrZhs9V85xifnpXKu8uWLEuvsCVAXH8zLAjZ
WDx5YbaUcJg15WKpE7Mu7XHpWUOJl6syvWxX0ozlQbnT2Dk3a+CxVfaKrAgyrkueR7NZbMsZ1U0/
C6TCh6JRI08JQMTAW62uZ35XjJqXmzRy81m5di4TcDN7kDM/yVDFoF1Dh5/NZVTak9GXQQNhIWWQ
idiepL8I7t+QWewOE3eRd8Fxh54FNamOoIwzT1+BwKKZZ6VHVb9y4dkCoVxsfacyiCDbJcfRpKWB
DOuEvLR+jxGnOWTxvVEsx0UEOaTfMOo0+4OOMst/h4lHJ9MNWxRAK8acJJ6iJO7abrPWrimxbJQh
+qWOFPORn5MRdn1zc2YKahwXS+R1Kt5jaDJDxxhJm+9AgCIv3Sl8QJK9b4+J+kB7yJfPWw5/am4N
aighlM4Wd6mts5AXuxhXAP5TxHCZO/hzWdf5bP5O+63Hwl3zxUD5tBFmu+/JFls/Ea5tc4+9sDMM
DirR1Ob9tNLcAMxREoTOZia4Td64Odvuro/LbqCIXx0tvuAGBTnRrpfqnsYuLlhDncoVZhlyKg+i
nUb5ImvOmMsurS3/OuFKPSI3MUn4gs5NrIeSPPDqKy3E2tFJi7p7mlenmt+tsVWhKsLQBBWOF+BP
AE24iQO5Vb4Hy/4AUz+abjqVJYshLGIfceVVHKuQ+AfsRBTPqGOTXyJlnODgXPrLFlOSyZT02KkC
IfihrlzMkzpg+EfIDqP/QVSD9lPADr+EWkXOiU7wscLqAJFES4IvwakZJ1kFKb+aSVOPQQQw4kjc
FdAeiVMyQryggbdtRx6mOEwh5lKgrfdpgWCBgw9axkWP3inaeLD6Hazj2eH0RqRDH++s1g2JM4cb
hS1zUKUnRAzDTrX2vF4mcWPbR2cmnvkAxdJphg3xI6QbZyCg1q1EqOt/HLEhKIjxlKGWioAfvLnv
l2HxhmurJ4zivU/C+fppaFjV4BJCdB/XkORsmLWDCDt5jAA+COK0p1CKXbwAf+CBMWAUgUdIVLeb
GNaxC1zQrb2Knp26iJqvGc6/xrdBDFohUA28EUlFKNtw4+LJNdgE1zcKoHUs7aASx6S2SnETO6FV
klYswPWq7FsGe2nA7Ick8tFl3hEMehV74Q2k8d50Ll+muP1ZfWNjkAjn/ZwCu/Qb3MTNgSprr5bB
xxn8Vfo7mcxdMlFP2UAYJz2FAdVYYs+8MN2iTa3ZWMg4kLZ5y2SOFaKdzcutIlM+dhzgvA6ZL8wO
Vwe2qTBzS6OTORRkUQKa8MXkHF2uKrUoSYNMTRw9iDwLThlwntRdjzoM+Z2HMWhN9Ye/pOkcQhph
rlb7ODLHx1HVuXiAwd1wKQ7AXGnMVwemn3JUAdtk0PdU9lGJmsw9+m5AFQxcYaroWM+SvayIcnNo
YEORzJzhdR/Y+8lpxOphr+YSa31qEJKzp9RjDQdnQ10C1R5yYk3m2xkWmcsZPSM6pzSZdcxE4SCb
0Jyc0etwogMG47PHEA7T+mHyA8XftUm88MvsokUvsemhFHP9WACZfbIE1uBH3MKJuaImkb3TPQHm
mno1RkexIhkaO/E8gzC1B+EWYXOFmGLiWMRGzdRSjQxNyQLP0NyjoW3E4HwfrR73iR16B/BN453K
JBN9KrqkdRODhnH72cO1KZF+DKBFX5tT6ucJ5jst97FsbTNDFTHW/M3G8RKLGylTv4iJKM5rmo5q
hDMHDM+5whWMPRHvRJ78vBOr4hXaMLxbqUjDJuM3tqgza39XOo2O0FlZlVmKOSZZ9Cw1WesPVQdw
fvH6GDkwHecT7d843EcqWfjGXtE4PKOxR7iIWDctpzm7XecCkOxxKsOgKE+ZFGk9M3QIxHS/hgzd
MvTE0ozDuw5lTHbGCtsUFfaANNz47mjTyEdCsVgYIgpn2eaz3YXDzi9dqpTUTUw1P7WSSPiTLdN+
im7XIXPb/Eokoc316BWeK3JjrzPTsqmkyCSUwTeviMJ9kBF8AxiMRmTyTaHmVLTGuUIX3cB9G3N0
5MoNK+rs9PV0zaYp5dAc25lCdYshDVWg8CDQnaYBNyC9JSCyoLK2uQPFd9j3DX/g/zc/TVXSrbdz
FYUclw7+KZxhWRaa0hDVJLHRMISludrX16MckBvf483Z8lC7no2vvmLuNKVfJjwH0erj61Xi4F0r
1oIBz6gJioPf+WbtVo0bN9c1RPxp2KVVz5j0gl9QexS1c6t5tqM11XxWs3Z8BdsogQAr8DIrdjEC
iOl9GsZ59zQRnA0nuy9HObC5YOHoXfmzM5TNJsFbpfhe4zvFnS0kTOR721nMA+l94EiQ95HnPOhg
1ZcehFx9id+EXqbj4hIC9jRlJFhQdb1WPn1qT2Y62EYd3xb8GS7y/mdHHK1NTGGw4DVF99Wkygwo
U3qWbq8ty1pevGlU661tTba99TKZ0Y5MWZf21ikS0hvvxVp5KJCsGXebW0S9pukGvzdVWLc4psln
RmMK+VS2rI8Ep3Ge2lBDMWl3S2RhBpx3U4CYl9F8i3CaIoQ9YHUU7d5ZheTg9qZ/YDmJgI+HbJCs
ZquU7MniJMNgQUHdhAtL/+REYKEvBE9QR72+es1UmdIKczhUahut2qonWWaaEGlBup8NfmQlnpnu
Q+GL5uadDYmtUdwQAGCUubE1cCOxMDOvON1yKq8F+niKVz0X6THJmmW8E0u49udoXJzqFOFe0Hcc
bJZPfeAtw8TWKaqy5dfE/tCxVxWqMZWoi4ka+8z82jUSJ1rylqpictikKPhHse1BrlxjPTyZLvC1
saiS1Vx0uy6zTre8ZZoJyBCtdLz+FBUsdJokLBS2JJs1PNLcGc2lj0TrprUx+E2GYY+XkV9ivwM4
wg+umhWFXMRsWAOP0WJuVpJi26BKy3FGPjSZ15RPXruYDl2/7hzxQu5Fsqmd0qzK36NG/w/MCNoq
aS9QzJgovgVYo4VRahJX8/OSDKbPnLCry4Kd5SMQiTc98yge6e8/8i2qBkwV0Z7+8NQnQfItzqpl
00T2gFtCIGbDJ3tdGlVkGWT3336UMYdh7GUobMY65VdEzM1SuU6gE8+5j9yJylP4jG4uFzZr9q7f
f9YPNPA/gwQDv+HQQpItgxQP44W3MGVvO8wD8ON4XrwaK8TLEct0VmIw+BmvYcYYkbNwFXgcPo2N
H+C1gQWYIklYDi59NyiE4VphjWwQnv51Z/7JxmpgIJgSKQx6zgTMHWb+9PvL/8dTYahrJmyMlGnH
Xdv8/X9xf5YuqQeGDcHTkDsL18EBZdpCDldaqN9/1D/WnAcwHENOg5vm/jMRnTIqd7Frlk+ILbxR
nxIdFfMnZ0Xw6tKkp1hM/eHLvSV1YSrjGAPfgM9kiPnWP6dD5BGl4PdPCHTNHjUsvGy3Y87O/j4l
UIdXOYmp9ykmNH+GIBDa3Tt2uzr4A4/j7W2Gx4nOBJDW9nndnLcrckaqNs1x6n0Bk6B11Bl8n5eI
4To74L+7yy40Eb4tZBo+DXDsDXhdUhhGnlM4X9C4hQg5ZGVa87ygUztNmWuqxt9/4BuSFUl0EPMY
0sP3gXMIfPTrCkJ6s7KZYKfZNTDX8GaAdc82x6aoea5JB30Gc4s81Vm8DcsAytSf5ij/uLnQjtwY
sgB0iJCv7v56BXSJWeXIsPmiMlgqzR523VruQT2yuDi+li1Tl5nSGL2C2b9/guJWQPiAt69hqHAu
4Gtqbk6N6w//A/SveYtbP/boFtYqajgSyJVuo34XeQNeF5vcKQd263AOzGE56bFFRpUlNi8+HAI4
UsVuCEfAIwfLjxk+QAlEt49gGrkD1O8JX3QoL5aprXp8S9gsrM4N6WLwGzHHOcYV1DZhj1iDs1h2
kssKXwH6ntKeXbMsXVM0FdHwo+JzSdmT26SojUuw3ePnAzyWFh3IpDstkwFZmhJY9vfP/+1rzb6H
Dw15hogQvH8u7ZHOIrPsVT+2mfKoWVM5mBYoXgdTAfyErH//kWb//u8t12y1pM0wo4lgJyMz+fWB
MyjDeq6P5sc4FQZjHPNYlNeQAd3SurF7myvY+FUMS+uwOIkpCq2qNlfz+8v4J0uCeXbMiIpBEeqh
f5yingvugKVk+c3kSIUb7KqKZzBVTY/OYJlvEH5d+zHBTch61lMx4wQrJtwU/3AZv4pAfozV0b1A
7vNgriK7eHPcMZfoiQMLq28JBlfj7sfYWKxjVl3llSDYcJ3ie4Xu46BFluwl3uGPGSpayTR7/ZMA
5M1x+HoxRozBbNNlsvmWsbvW4zy1eIl/S0NbfFDC6d9jCmztQsqoS9g7482Io+qF9Jv6XC2eg9Qs
pJvD73u5zcMsgpDczNNVbo3ed5jzKthEKi8//OGW/bqCzFUKpss4j7kmOvYf+/FUJ7qOlT9+o8ZU
6Ude16Dfcm7rzdjb041LMiodXL+KaBd1Qfs9w0Ci3KyJK+cjuvT+UxBXKa6oc/nRRUNJPwJX5UAs
UcXtTotw6yvAldcH/T+dxb2WBAQ8fSWmYZf3UClfhv/OCcCpmU3nNzqLLueF+lVo8eOf/C20sLHM
JkvZM1YtqJJ+8dnGaNDxf8STkGBlC86Ov80EQ8wE+Vegu2xt/A3X8HfQAEoLl0AZfp0ZUTvRvxFa
sPP/sp0FNjUR10VCDZUYl/e2gqxV2PdLKeYrLCRAvyERzyAugKyBaO3LVk6RW4ODhuBRx9Ilk8T+
PFCHOnBe0XveuzVSpA6QGRYwKtCik3OBA1OjZPQhB/3FoWw7Fg1tylbOi98csDFGUYRblz4VhL7Q
jMAqdevp3I1sk1O/WQfyHuU1uV5Fs5umHOJoHMmGOINiuYD2MtlnTJ71tfaT5J4BrrygrnuwjFH/
3E5hurWXeBcHhbwqDNpUw7l0NkFQuveZyPFkyrNxBtKtZwRpbETxfmYIPOMVtRrBeyWW92s5BU+2
dGGWwNKcrnM7o192M8OhgiaMz0fspXZ1bJapOoIcVhGuC21+FnWqwpuYhpuZprbxVbOslt9pkhCG
H6EIlkEbMpOUIOGuHoof8QnhjyiFxi+IVcCFZHrnYp/zyJgFdPNHAAP8ymGX9T10m1RqIhoYCq3U
A+Q2FIGaHgaT5ZCsRABvu1TJ5UyDtUC27gK+qP8jBQJoRV3NgVMde1d0e98pp71IJckRAHNo+1tH
IkIP570NsiQ3eTkHZ8H05FNc4BcOeyzuj5RxajhkfWcjiWep77DX0PYdZux7Fyet+ugN+DWINlgo
SIoh3OR9gfU1GQ5TCBLld+0O4Rp8XTHVJ9XiRYvyZowO7jzP+3koWgzL3YnBtzvY3OhUymBr2pvv
YZLbTyuuOocy4G08GI++vd34+ql24tg9xF0dHMd2kR+chpgLEOjqgSG62CQ2rOqtZAh6qqYstXdu
F74jCaKDO8hh1DEzVFv8yLFcAH5xJiy5K3XQJloVbCl+h+BaYo7XAWQrP73IOLzCTevVJfMBL8AN
KBvx1Cus9mx8rVGyhvWOWiX5wtvQwX8G/XyGJeLgCtkP+Eing3Lvkyofz3NXhwd0u2G2iZuk/xD5
04vNLG43aQqzhJlFveENyM9MNT1sdVCQx9tURM5VLSAuIwqPHo035ZHZPK7NAWepswsmbNt7bNa8
XZ+o+4CR1Y2Cd/6MGXyyG1WqP43Q1k/Jir/b1rLsuNhIa2WsJq3+ncYs/kYFRYHDY1vg9s7IGQF7
XxrALWk/ilQNzGHi5tzEefp5wL9wQXGQVO9LX7pb5mgShXMNVBuxDsMEG4fAL+07YPFxqxk+4Nzd
+C64agCEfikxamLIN8h3XZ3Eh17Y1bfGKfUZ20zcfDOFZcei4w3eDi8F082dp2eyKzDNPRVVHFMc
u09gJJ+Dqgu2hGtACI0nN+zKHRGNPEdyPFQmR3E791aCB8amDMSou/+diq8ROX88FQMKwd+diiXz
6Kf+15PU/Ju/PXbjv/B5JeIhjn0qaY64v/WHVuz/BSUyFoIosR/earRcfx+L4i/mLKBGaI/hBuN6
9p9j0fuLAwxTnMh41nKc/atzEdHTr+civQT/MbHJxDsHXOmbzpLhpcuyHv1zUEURaagWM8ZmmI5r
ki0XVaqCE66PgNbtPOuvQdvjFVP6iiMFze37th1tijlpPVVhZV+XqMxAyxPvXvBipZwIotmlvR/e
ZNXUv9fFlN8ztKmOJVD+uaav+NLKJEJtiB8aDIP9oHv1TJtWnBAX4m+AfGjpQMrk+mLLEvcp8sVo
d5fS/UCnSdZVUzWXSeiRBORh57UMzXUbuNA2qqTeWUWdYUPQz+cmr2tiIrCQ2hFNFV7UapQVkcHL
u1aSIiSrKL7SfToVQL6LeweMH99At7CvHZ3b15CXrYkJgqcO9CfVkelK+uDEeXzjWOWts4jxOnGd
+9XWTPIEE9FG+bGFE6z0vkP1zTZzrXGLdeDybTtkX7cxQ1CMM0Nm0H5AGEXHTnkkq1R+nTmjD17n
QT/K8aDChqz8qPxCqM1S+cURK43iFPcDqT3+XO/sUJOo47jj5zbKk3fDmM13Q5uvL0x19EPTjd4d
5kD65OmiuxFesdzR7OVbZEz5QSXBeGkvQj3X3rjsoOCEBzlV0zF0SHBwiHDe+GVTnaZmdjeq9Mev
VuwR0xbACMKH3W2wfjNTmTFnal3abbPrg+S6LmV9tiK8+MuwJG2nxfkVdthRqSn4nsa4JfUYXVwO
wp+Pwo6Ts1tn9S3o1MrpRr7zBXBGYu09RCCXEqrGp1Tn8WOoRL2nFpIXWLDNH+Q0q/s48fPrFXHI
9dxjN7cZOy//nAx+f1UQsPvBJ9nhWMPMJoqZefIpWCq8kUpS0+5QyefXKTmhB2aWeFHgB4v6IJcO
B9mgMBbovelKAD7fxh1rBS2ASLYFCZYv47LIm0SI6qSX0bsUwD7HWor8cYzC/EHJzGGoJYO7GpbB
acn0csO8wbt05wDjgrFN3w1+298Xqxdvl7qvzrU1nmWTzAlnYxDduEq6jw3wz7VK/fKcI8o6FZjm
1Zu67AmS9rPgXSXnSzebcbLBe+1k2cMe7vPwBPCGCbxeSmfvyiR8Ut78LVBLfYYQN5E2CdTWQqM5
wK6Mdjps3E+eX77o2cMl0Up99zGMmvt28qCx9FIfV8yN7tpM4HGFW5Z1EVigpxSDkX2TTShntrMl
1BPpgsVtmJYKZgHhXi95EmXHZuIfpWtefYxyu0ZuDMnNBpS5LFIe4ux5lI9jJXZM5OsPodcPz7Tb
pMkPpXPP8PPMCSYu2lkdAbIZh4mQOJu8Kso7UJHqfZBUJ6Hn4UIka3P2yxpLHTmWm5HN8nFo4/wc
BnVy0LmndjS8yyZpluK97BFYrwtOTF4J+X/NTKyWDMoHmA3LxxCNyJ108XHhgULf7rKS5BrhyFur
Ww5zJdSl6hhJbOP4EAxFfUz62b4Gha+OqrqbkmR6sAwWUwrPuSvs1Ds18L/6bTXT4xJg0r14g+ZK
YFbN9hIeW2de9qSREkae0fo8DCE8o4201wqjvlC3jNt0+m7t2/JoLcNKTaWDcNtNGA5hOU0Od5ro
/diskMfXdhyjXRxPH9NVY5FelehmKmpjtjm0G5tYdiSbSCWv8be0945jPRRuieoyTamG8irGplZA
3ophIxM8lH/GQ9g+V4A7e+pKtXGJb3muRAYbo83iu6COxLnvg6XerIx87vLBKndh2GwZe/VPogiX
Y0Grd2v3+PgYjoJ9M0WtvY2SeoVEEFViz3Ax/hRzatysxN98xic7vyLm5AtAljhxIq7kA/XTDYZO
JHvAtr/qC9FsB23FV/Xod7dDkajrAmrDJyvJqxt6A7kn7Cs9OHGb7lYXa66gV95nRG7uSQx8yy6J
2kO2FO63NUzx5Qli+eR7yhwu4+o/ZNCuP0JMwe4Mz2RIxEWcHkc4edBf0hkTryS7dRy4YjPN8IZ4
ieWDPXLrmyxYd1oPct8vbnQZ4WZPEEdFwA065pmFRkGOPxeSbWnj+6dTbzxinjMYWpb8WI3JMYdV
u4dBs96WExkvcoJwt9GDvRbMXRt/E6TLQeBQd+PgS3cRM1n/Miu33M1wqiGycdzmvOKXPXDJiUkN
pKBSdfFjKUS+q5vZfqgSXN/ZmaDZD+5OuyK4XcfCepGwwi/kEFkHqIv9O/Tz1TnwreSAT3h/V+k5
+siYIDk4trI/ZFNu83FhYm21tsTBo2G46bR6bjAme7HXke2fQdYK6W/x0+PizQ4OQ5G3cXvrMsDT
DYFQ0+ULA5l2hhpkSMR2zo6W23eme+DsL4r0fgwoRDbFqCq9bbx4uFOpqk4tnp75ZpFhCSzUd0B7
YRKp78R/lOepynAMWWbrKnex0MNx8naamvI0BONj0AX4BbU9NqeYgY3P5SAeodk+2cn4HQ7RY9Qu
7xtnpTdYZxSKnqrPXRPqPVSue1el8kJmYXhPVof7qQRQfMFgf/nMvPYxmhphsdRzyPLlhWTUaY8X
UvVqGo501GoV15RaTYoJjgv9Z5/DR/X3Rqx8tbhBuBvnZYxu1aA0BG+RfB9z7UX0bDMPDtNmF07e
RPJp0trHUVP1HOtMttc5VOH2UbKBUnsZAueSlNg16bS+iKyy2xnq9I4ir7wkg5egoC4PHwMdqC8I
j9LiNkFfd4m5ldPdj9maJcdqxYyz2S79vEIpSoeg+BplS299DOBpBHjh40C7aa28bBlc596usWx9
ZObeHCbRf8bjG9+jJa12Nr0/huP+58Vy55PIZbjV9TDe8JPLIa5CykksSPPOvxpJ8MUWx2qDTZly
ylgheQvUIh+blZSsDNz3ghPE+pBZeXqFE6mDB5qjb+hlsSXkaV6sA91als9Pfhnriy4WFgwCazw6
zaI3zIcpt7zVHTfEv3WXeX4GJ2QCr3dTmwyQH5FS4JABawcbG9jB/l294n9WKCs9rxjtnsckSS66
2s0vBju9Eg4hz3boSPw/xbDTaai+jJ6AJbQE+pirKT/A5o33VmrTXOdVu58TX6LwyeDDDnCAtlD4
o9MItIJG162PgZ3Y3/0RQutWIoNZ8CJmfPRVRI2IPvf2CDj7MvqhKoOPifKN+pDhRI7R1Y/W5H/Q
5h+aOCw7gKb//00c/Mvm28uQv4y/IKKv/+xvi2znLwNQogJhBgAu6dBHvfrIWKH3F/O50EbjFPkO
OSJAjz/7ON/9y2YYzwSFHu61Wfsb3vTtv2jhBP4TAb0XneG/y0r5kff7n3ENH8IgMkZOSsoHQhX7
rb9E4GpaTdiBp7ZJjVt0znsFKYYR+fBAVN9zhCiW3ExyqJtxibd4s/ebZdHlReSUcmsP0X00ReUF
/NPyehmrqynycT6yBGVph0urbbH5FoAzevSBQ6g/QDhre8du6aHCUfFBxsSqx2JkABm7d+RR2zvw
REh42CHvHRUum9ThM3lppm2BwHlrc77skGY9TFXMAZC3GyVbhtRB8Swsae8qjKA2Jc69W+DO7iyn
7sHBZYyp4eRtCmaH+zoJP2Fk8L7wnOcJ+0T+rXyo2vw7rxApDm2ImbRw7xzIx9BU+D5CLsPe7tSD
QDAEvZoMjdni6zUpU7ylxtJzskIMrKJz2sAvwRNbbids/9KhxsygKL8z+1o2QnArYSH1O1vxS6uJ
W+CTMcFX4DbY0bnO+36XdPzUZHMNCP6p9RK334zwzk4FJnfYAbOBCiX429K/m6NxwNYxOhcYmG7y
eCSpwTWFtOYWyMob9sHgrHdpW93FhO3tq56PrOAtXAa+4vJnz92PiAB2nhTljuHIRzIKqTlRYezY
jb/rRrUnFAbuNkg0JUSJfxhs3/QlqSyS4bv4HjXbsPeaCpI0shywW2jy/hBFsEon2tYi7u+TKCkJ
e6EbYki6HuRqr6c54u55PR86B+E5cqz7H4skV5o+w1f9DkGTvXO0d1dPUb7t7Ph+phPeYtmN8aEd
3E05F5UWePTSKcQHB27brk3r5SKMBxfAzqyigZ9lTHCT9w6oV9u7+3BC2ysSsXCbWFgg6ujCcC5k
PX+HF0b1wWRhU835M4JEnv3Kn4oEde/kWM1uHiKEZlACtzXeiyDDNEVuKNdrW/Uk0PXdw4/nXacR
Ypj/Y+9Mlus2ti79KjdqDgf6JqL+GgCnZ3dIURSpCYKkRDSJNtHn09cHyvKVVHXt67knDlvWIQ+A
zMTea6+GshjHYa4XunqwksB49C2FxeD6xUk3kjc2Oauasxw/A1anj/8vUhs+BY64fCxS/hPW34tl
8EXYeRRTDSqTgdsFEH2/KJ781LJPPG+KT9gkq6uUlgQ9XPeItTDpLR5P2B9YTD678f1mVA2bYtL4
q40oX0qierax7rUnNHMOtscsWlyo49NCM3lXdnkTMVHLw4mco8iCdrqDqG9uJQTRDRbH3FKdlMUp
SbEQ7rR5D8QCtbyNM4IjlLkVHpuSVhGb/bziXVuzygiMwNKhEle+yUa1dA4Cf+RNTk1SbLGxf8N/
NrsdU+f6fXtZUPwPujGY25mkPEwlyaioB9AABLrdxoZtd8LBt9rP1DAroZdtKFDtvj9bRLsrt626
xBd/PUJYAlXTBlgec2/eV7nyhNrB7wz2tA1iu8Cj3YHuFxvI9ISBrgtgXeFs8dsMi7m9tXCMBSP7
21aBOrw/5n6YVrkFywhsqd+OuRE/o1fVDk7KpUIlo0wcDO0QBxanl5O9ULjxCAxBih7fDwoY5wr2
T1EJrzsyKyM+6XKoiEPT52tnJrN+yl+QGCw4DkzVZSxMsaVAYqSpdO2QOOzTGuT/cvEIfvRcFllV
WtWl1gX8doQlnL0lQCSHg6FoiGd7D5epo6Ka+WHGNEZ2Z2EQ3OvWBp5rF7ZmJ4+TCxHLq0Z/M2el
Tu6RY2013MQiLzE43CYe3TsJG8P12xRSEWzFatk3PYcJnNUxIjcJpsPIV0AfyC6C5H4oUSofSq+w
vp1NZjCb2/dNO2buCJag3fOz07MjWRLSsW/NZQ2TijU/dOjPee1MLKZ2bgDCM55fTZI1Gv3qcnbt
+XrwxBttFrdmYQe832s3cMRGlPxIXC2DnV0xhbHnvttocFRCdLaQkwstPpuU8xv4X8Xej9u31uOP
yyFH5sb4Isk4T2ytyHaGlK8+xjfbCvVzVBNFUNbE5QktPWvTcO2tDh8WAU6nJZvxCtdwRTYI0Fn0
LU5NhL5Us0Z2iSrUZ+EUJXb3VATuNvCNTgtRseQvZl7Pm1UuSQCTbt47iSg2cCia/AoL2uEENZlH
aOlxQs5mgmf0NtcZAKR11p9TDIMJ6KL4BIqDy8twbRG9vmU4gEE97XJjRC6erKcmHp61vq6/ECX2
amd4t2NEPIs3v7U0jN7goqoOV5h5OvSVrHdBKdC+IOxtrajJJXs+t0dtk/Aq2kDsi69grittV1gw
VK+FCTmAwYfdlQc0Cb32iCRsjFKSwYrLOA0seKuyMNyoXQSZlM6I5HabECCj3VUD5QO6nPsfSrHz
twrmx8i0n0kE73UN3gk+CSNQGYBxVvz6B+4cPrimsms5HLxsoQtR6RtKUp8jyL9HBYaMsGfX2dlf
Ug5Xessv9RThNyA1tNMrpewXwW+w2CYKgWY4GNP7YccetDLxhSRF3DEa8fbnV/kzv+f3q4QuwSzA
wPXuV8MZNSWazdB2IFuABbJWAoEACE0A3jb/NAH/TVgiDIM/neRsvhbP07P8+uMk59tnvncA5B7a
gQ3RFToqNPS1zP/eATg0B6Sf4DIJP+mdxPB9kBP8xtKlO8D5gBaBgIN/D3KIWIQNypwHvwCoRWQ5
/p///ZM3YvfLf/+4TeDD/rJgV6oWgyFbN3DWY870y4IVOTWRoYL2sLhL+sgovWo2Lum5QzgTwUQE
hCz7XdMu56JGvRVh6koF7mGMH+u4YoxZRc1pKeMxzoYS76VKEA0Q6NPXuXe19e2eg+MxmFjDYCv4
xCE8hs+2JtmKDFt3VcLkfLH0ZIvDvruE3MTsEFOTfch7XngzSOZ1kTu08f5A3eihjLZXFp08uYZO
/HHNy13zCjQsqWxDABd5MaPtQuhmAdHPTr6f+HK4DUu3OXoqi48ohvu7KkjsE6Ogz7nXao9ZUfL+
aSs3tNu52oM6JNtmbVAav2tu1MwhUc7d7egnXxxNcJHI80IEZrfsdbELApFuFsfSwpzqf4+Y6q1h
qjCFetCj7cHXbOsQn7wz2x7tp+K3p6N561qzHmZef9UjbgwHkyLD8MkQGq4MJGxhitHM1CrjcuYl
AEBbjQCh0/oPXCCW8tL2m0fYwSgVjX4mmCz5TIF9XHG/cB1WiEV8bh1qP6+uPyB/V0/4NOqbBg+u
Dd5kw27QKerguEcswfvZirexByFAxO76FdrQdfjRQUtUOpIm/cYSmrZjQk8iVxcUDzXN3AOibGqi
tfJvk9jawQWcGYRgL5bq5VunmrPu2gohvXbqIa4/1yiT7xu4H9BNYwJyrKbYTpSB52JCx+srn7l3
394sqCsebeHfu11W7/GFRvLVLWArsfC2Cr7YIWhdnzRx/2OhGq1lhDB9TOw4Odn4a3qUKGsGZBAP
r5oOrS7yWt267c3CuibtKCXNHWcBmpOU9GJiSz5YmjFv8f+Tqx2xddcVPaN2PyZa0koRkLBzwhyV
/yaF0omnwtwGe9lawIhJYxgUCEuNFZ3jh71P1NS1aczDRQLEjepSas5HDy3ChV26+mebC990JFdG
hIqbGVQEUZOQ7MtYMn5c9AtEw05/rMHB4eLk/fKmVY7S9r6s6/htCbzpqjAlfOQE5QIVYIZrDC98
wPLc+Ea/+wft+Qu0B37sWiT8Z7jn+uv0r6uvc/Za/3jW//6xP9hsjNl1m0w0SnesAH4Y2+MSCKiD
CsE2YGVz6lM5fD/tVzYbvsCrlRbsR2sFaX5kszG74y0UeLq58kd/Od3/7LR3+EE/Vic6tFaEQJi+
Q3inBLZ/Oezb3MZrA3XypTTBkJ8Zd1L0V7YH2qyngVYRaz1hGrgcMqvuSu1YMxlxZIRraHWomW3u
gbGXL9JKBkBwHQLSjP5MXcyV630l1MnbYMDhStUeqj5xBYFEopgW+4OGWb9PmMXIOUdKfOFVsgih
g0Mf3gql8pRQW2TU3u1IBBGc4cbFVGb5YFUSxrU7jb3+VJBVQxuETTcxXDCT9AozVOZaeHF4Glwc
QuMVqdHKEXNKz/dOsEtNT9Xw7RCGwL4zvlHx8ndeXsfr19j6MO8LXPm/0ffQYq9kvk4H0LnIcHIa
tkpvX1OtkzuvbZazYxaVF63SJz7qLpr63FQANd9MQf/ZgH+1AZkA/+kGvAL+qplC/LT9vn3o36wZ
vDixJWIo9V5O/V5oBRRaoIc4n66MmO8gqw6PxjDgQXvvZdSPNZa77mIM1vgLLA7Crv/WrrN+lmFA
IkVRRYUHWwe+KszmX0jg0nDzFn5ZelKOzkgLL6/VAA9Go7lA97PHJz0pvWvNceq7rFmqazUxmWh9
vOcjYlvzrQEeQEEkFLMmcxY3KaEqAnkatVfgyf0cZNapB2gIy5Ghz8bxZyZp6I8RO8Ri8vDKcdIL
0tnqSz1BUh7WZnGJX5I44+Dg74lTSfexF3t7WxTkveNAEG864v7e9RlHYVvuFblI8UapLtUiWI29
DAm9MS+8uZ4+C4jtRBUzM0IhOYz7XDN7+B91fFe3to0UQ5vm46C/CKHqZ498wSslrHjVR/pAKfaU
bKeRBChBvsbNhFQ52XJ0FTqC/Vo/GkxdDkKa2utUy/YNW7/gBj2wf6zjUmIPR3oqoGNjnPEtHvY9
Ytw7u7OnUy6oqkOSrAimtRji5joDZUIFEGtgMdISdZog8kVKe9E1Snut3GR1eQRHvtZUWx2XrH0c
g7m9A3dw9wQjjh8xSOo/QF5lil1oSr7g25I8StT5AewnuOmuSzpcCHSuoBVUTMOFB0dQz+QxdQLh
RaaJxLvFMW6ITHv6hMWVyU2uipcCJfIhUJi1G3aWvSodFD1D6qSpxDkJ2RN4ECt10cRE7VSO1+28
GZXlhkAwOEL6MpiS55mIR5hF4IvcpYGfRmTJzuys4oIEjDiSOHJxoTOExs6IB7jMQFS5o6d7onAK
cizt9JPos1Qgx2wsAgJnEqxKEHVjo8UO8+WUzOwuzFh7xxZK/dVgB4AFQw3whrfuGO9ShR0sjhsQ
GKauSjeFsowE/eg8vVHwDDJqKBczOJud2jd5Wp0zF1jVbhfvMpG12jhqGUJT+uVV02v5pUnG24JD
82RrIQE8HnlydZM8xBB+CAYeEvulnSe7CUXjuHuvkPwtXPsOqlEk+o2enWxqv0KlWjrBLbwHMrB9
bdukRHmny7hxpXMNi2F8rTxLHHVJAMiUa1q6Gbth2dtVOl8oiAXdLsf66GNQ5/GjVrqJdiKWqs23
QeUZX9pJ7wZq3Wm4GzG1iLEaEcZTD4OsYgjZDrfGULWf5aJTR+PN8iykJSkhl36568gi9w+2JSY4
XH5QHzJzgcRdWjNxmj3qs3CIDevBQrV80eqp/TJAtkCKb7NoV0+J4tAklU/rontQ56gej2DXwb2i
pmTanntxGdoQ54oNqvV656dV+YxPZ/BRZvaLpk9reyetK2Nwl69Ow0yeNWHUFX4gcfVIbHZnRBDV
4SdDkpNPvWejDl68vDn6cd1vSm0cSlwXneAyNWfcgnp5a3RIX6CesZ+l7pCu50t76xeNQrXhMdMe
QWtnu8lWyJZ36tS3J4I7vBPZILxOrTT3uQ/w1KClcKLhQuNFWtAQCFTY2Z05as6+znQxb7Sgj+2t
7Un9yRQpGaA2h+lo6s0SIW/O8r0HtQruktVeCzvGASGorf5Owonlxnpl/okkvXYJW6O3Jg6zeDjG
yVz5Kz2m+Tx6S0NKoubjDqkHAG2OvnQ3die119rxSuiERj6eibbTOFxUGjDpzklZCrAc32l+2n52
p2X62qIUfVrsyriyuiwm62bqCEO0HDxWSAu32pt0CWKxofEBdkyn+JiaGtCmoTcfEtE1G18E04Uk
lSAqC9Fu3Mo72fDjIdpVzHBwZd7gHR0fc8GxWRt2C/Zd3ieVM+zhOcRhhpCU1EWSZz0szZcqou9w
t60+qy9YY83ldjTcdlNbQ7nVa9pQBnR+jjWPUYzDhU2md4WXjZya7JPSkqI6LJ5dCf3RX4QrzDCV
lsFYcBiWLr/BdJC6K8jdGyMn9hMzGnnnloV+5xpecuZYnPeeL9RxTKYHx66qu5ZB5x2AcGziWpSv
IZwugX4gATAfvWqCw5eIB0bbJofUxLbys6Y6Y6BUnqmM212XlNghZsK+DhKSb+uRGUPuyIRjm7cd
U7iF6YgZDLvW99p8Y3VleZ0HOl/XFdoOonzKjcFvmq1OFlNoyM69bA2+vpp788pxqliFUvXxB9uX
LhIKMd2TLerTz45x+tVS2nJTadS9+15r68tFX2IIC03zgaGIR/hMob9i1qPwB5EOCaztsJvjFrzX
zmcmEq2mDgnOG7uc0LhwNvphi3x82Ire4TwaMkNdmL3yjmmWQvOf8nNbDDJ0WtO6idHs2xyyIr6b
FPCFm5tXcq6TOqqUDXPCH+pzojzCX7mf97iyGJcBwokDx4WH1l5qN0KMo7U14RPeFoFKv0B3zEh2
01A/SCB1fo/eL6dFecstLK9pTzxncByNoXuQcQ09xsAQj/0EOsMUh3618QJsG6ZkJJMVl8JNn1f4
iQ9W0N5OzHTIVc+hKvqBZ2xxDtMPeVvYNwN2+1c08POx48WYhY05XVeB/6rXWfBqdJZZw9J3WgzU
ivSzPsXi2NVag/tvygwgGzlqWH4pL2kbaUEE7urtsjEXxAdTghC0Nm1Eb7hP+HP4N+ZCOma/zgeg
X+FhvleYICmcQEyz/lAtwSNa54QTO2UsfAELZzAw1fAx7BnLKXjKSCD8QOJF155dIKLuQOPWgtNj
fOCgQCX1+BKrsIz3WMDIiSw9CCZMl6uAOw9EtnyQbbKZYT0usJ5c6LGB60W4Eax00GS6BY2qidnF
YLQ8DL2WPjqN5WTPqNqqKsKGAPqPnJSECyS+MYMM0uHhCdXfWEMsWRMOERKilVHUQi6i7J0/CaFV
r/k4mw9BP3j3xspGaqEltSs/qVyZSkBnTeQNI1mp0Jhc6EwcgNjEps85NCdv5TvR81FB2CsLqoMO
5UGtPTCqKM6tAVhjl9olD4fI45VHVYm+fbOYqa8+cy1Eq6m1/JUclxUHvBH7W7yoUM0Og53CZZNB
ktwTuyC3pTLVbcoADQrQN2bXPzj1f4NTY5+yIgr/Gb44AFNnP/VOv3/kO3ThoLZDmL42KJaDUQ69
2O/tEz3SGvSOehWc+B2O/qOJMs3fQEAwjsbklEgx+Ch/QBeG/xsjCYdJCHr3v81UcX4e6GAzbgFb
BHwtfBx8ouvWUcgPAx1InoXK8Yz6ANW4GcJGld3CXJ5mL1JFGVw2diJvoa/IV3h/iNlSod2ZAeGD
FXUTk+3MJ4W8m2FH6KRVbDQXDnygwfucR2LJdJ2f42ok+YbaWGfnXDKsgeNNEFidzmI3YMa+bWB/
UJrq85nQ74kUJLHsayDgO5Vb6hDAigxTQxu+VooGAce9yb7R5iy9masCVm3a9dMzhonLM9aQS8Yk
jdsWpclI5SyFVDukEO3JWbTmBflV/oz1w3LmJQ4rB5efp0UqgBi4g15kMWH7OsrECM2mIPkM6eJt
krq3Rq9xsvK+MD8O1qzEtxHQT7ODH2cF7zOzf8+23h+BSwvNU9WZNeEm8/MjKIlXybW4cz8oaQVH
HMycbWPOkoqcLD2Brr5dVW1mGZyRZZmXSAC4tMb1a6aamBHuVYoNNiEK9TFQw3ilYie9RkJSfwFr
0T7hftbdpatPN3GE+RXaJwMeZtoXD0UR+/skhf4ydFZ94/vyY89b4EBm4iWsQvPeTM09E3BSOBEm
/LBJ/j9zxODn3p2LJiBxXcBISsmiY+T280U3vusnjDrwfa/L+MlYn36CHvARG435rOFJgROhJY/o
+ulmqbXNsMScbNdBXoAQNesvjTC4DYEzzTcrenuaasv5EC/8W4u0+Su2cMZFAhPyJh1cCBRQhc+O
Hz8k9mzugywrHjDqGSNXFKQWV1NFXJTU9nB/3c1Syx6IqmRNW8SzXujK+lK5w+VEQt6BPC7nQCWO
ftuOieyC47KdHSgfehOkxE4+FU2AaY5dT68UHczEKYpfG9xUj9j9yYPsKSTjlGlPMw47rG3nOzal
uIaByWbqRHYQ1hde9rnEkV+6pBNDrYLPnJSobfx52GRZ1+Krngd7XcHVMTO4Cl5VzXf4CyFMwdYh
vypTq73EFMz8tDB2+uoXLXV2NVGagYIzkpqVZ2C/03WHYG6yC4wX9KsYgcSZ5m68ckTLxZkWNJ5t
m6r8sEi4NhHMTPMOn+75pusNbih2jDuiZyAdOeve1ISCVDR1n+wU0VBApsOlja9VpKNd+Ys4pV/O
LOh0CEWYQ+H0AR5s4nnz89oxE2j+yehpdyn87Ns+IO9FoxJ9AAXAntaD84aFBWuHDvh1Mn0VdT06
isielvRL3tTzdeOa8YlM6faT19pw9MlL3LeMfuZg5d8MbvkRTRL0iFE6RZiPTGQKnv1lHZPmpveJ
2nbQwaG21ObdrEthh8S8rFw8bbmyV4YKx9Wyw68OCmyjanGSTtMbkMY0cwtFGYVGPo/zNZQfdfu+
bJscCg3RvsuVbKGdAJjEb4Sc0yFoZUdWhtF9qgBQoFxlDOFIx8aF36Lxf6l0sW9rQlcjuEwDHhzD
4O5tIFtvK/zUv/F1HIe3f75137mL/z6v1tvP4NTH7gCtHNibt27tH14ZUwu/IlEyvjNlwzCyNzwj
XGSrfchVwBVQSWFA23bafb5k+Po7c7OGuEr6/71PrA59G3sQWKJo45MvxuZZjK5cwqCd0L80hoyf
UBZzMUQnGMc2G7Td378Ae329Mt/nvYx7zM8XUCnRSSNNvLvCZYpIPsB83TZJsmuxQqYhrThnYnz3
AKaxqlq1BdoWQlkDYV13LowJpjh7D6KdudTP1uwZ6JNmyBZmM8S7tvDj+8JriWxJq6Twwz//7r84
n7/ffBsmGr5F2DgQbvvLd59KmlBlT85dPdBchVPXxW+s5tg/wJQrsBbK1FU+d/NNQS2770ufKzCp
ko9+k42nuoTkNAWmPBbOJJH5tto9LoLBPphspmiAXNWN8juMl0yufyop88O+m7o35ocNjwioo4un
4agr5Y+QuNV8HuxJVHsPTih8FkeFs8nEuB+G+JNJ7t4B+Zl/wt0FThwz+13RWcmuKdL5ibZK7eU0
xkcAN7lVNKt+1Jvm/JVMAs4rJP4MB7vGNLbKapCC1ALLT3nosA1jJC2a5ljYY/wE2CSP1ATz+X3r
xYGWfJHkkKM0F/zhUIn4pGZp3kHHwymkzGGKBWabftEJc9/lkGKfWHnjVxRQ6wmy3hqwntOQVerK
1lf8zUYgftdkUg8XYnNw3jMVegbIoo+AH69WXULMT9KZcGKzi+iGIF7ZhXmJ13q3cbxivoYIwLvk
zxcCRSKr9KdtCImBmgHxqfNeDv5SNnBWQ9cTI3HhhdHTsepssPD9bCYMst0vcYtVKnqxLERmkOwo
xZpnl3aYVokzaUu3f0xJ7mEImxenNiu6KVxKPRPRqOVZiSip2vWtWLcrab8vC96fH9eYhhdzssev
Q+bZ2gZCdeltutSv0QdRjl2NWJhvMVvHKADXBbgChVXExa4wAJ1D4NPh4CfavFlU4x1nu/w4E2xu
8S27pYg0Okqm0NotzkfLBIirD18wLeaIJMd+I2s4s7Ohur3Nrj14BTYPIcniPJkp6z9hJnGARDAu
m9nM1Baj8E9G0zBwroHs+T4prXXOhoCgwGLNzc6OsG7zXgnKKDcSV95TbeT6QQXYeIaupdq9arHM
vTLn2A4iRG3pA++B7KHTckSKqpksxt0Z2FeH1ggnQNG6ySGlbsFMweI0CDtcDRFpesadNk5rgQO4
cNJ9eBAaVvobCayY4DAP3bSfU9h5DAY48gqMtXVAAMm/x/3ANkCGouLIxw3WBv01qvsEr95jrNu8
dZSRWy8pAQdLBJm7ERda36/lT7DcJj1O0VuVtPpLWYDxRn1bwgHmZNcjrYIAkdBHAk7UAvkZRgwX
2OCBkTiGZT0atcp81tOgbnMiTEka8PL5TlJbHjBcIAK+wzf9zSSNDXdCpW2LoRQQ3dwYaFqXatrC
VgSogFKYRq6MvZCpPaswa6kywzmRmx4WoRY6TaxvMksVb8AMd/A11sRsytY4nHBlRrAnymvPK9Oz
WXpTxMsg4M4Ei7p930j/zAX/Yi5IOApj6v/c2H53pflX/fYvMt6H8iV7/nFE+O3z39lY7tqU4k2E
x927HIM28jsby/vNMDxgKeq1b4SsP7pci1Y2WJNOA4s+wPZcOu3vA3qfrpnijv+JdYVp8r/+xoB+
nTn+eFZyTpIjSGq2s74xXWIxf37jL0Yl8PCc9QNpA/h9vBVkZM0LgK/vbyj+D2WmnzrkQ6z2R4O1
mVvdX3R5q8bl//kK0CbZQFyzuRro/FQ11Y7rNr6f6Iea6cV1bD8uQXPZjWJblbtEmOSsgW5u6EQr
sLj4qmkSgHfTrraT+WRD+lcpTGstueKVFGa1v+sDbOc947pdnThsZ2TMhufXmFA3Na824zS82sOh
IlRNfM4h6a//uoDYk8/3sVM4tpZd2GnbxQkOdt0DUCUC5FYfK9gAeg+LVZOdZW10gY2GVT0sPnkO
rInDjN6xtHgBmtZFMkx0prm6tSmwyTkGUvQ1QF8mD1ZvddtOXCILu4USNGznKglNRg23bvBkWNq2
S7xnVLPIRnIjDFwrssHzyjYI9TTdDjWI/FxGchB3s4bhTjvJregA2vvmM0QyfZ8VwznpvAu0Ky8q
GSImt1HrTsUe61g/nPq+CK2qei1nW98L4mHCRZ9eKyZYiTt0l1U3OYD0TdS4Hb9M7TJh3SRlnkT/
HC7/DWyGKmtNQvvPp8s1PXT6r+hZ1kX2s43V7x/9frA4v9EmucRVfTsGVjDu94PFt3GkMiAD4eXp
Eme1RrMCS/Xp//wvC8MOsryBtnB8Nd9Pjz8OFus3/iqkTNMCXCOQ/m/xPAlo+nVbkxLBlvZA0Mgh
AuX7eVt7RNmWgM5YZPTA3iEJTqm3UV2Ct5M5yoBUjLHRaxI6vdQ9QkxI7GNlgtBHLjZ5VYS+Hn97
S80lEmenTtqDViBJl2EzVqXOXrA6LMQc/3KJU/vY1L1xXTuAU709QL9czLwFcHCtI5E5pLZNOU5P
kIPmKSxV4F8GDPufqs5vnhC0YyZFkAW+vhOK+Et4lvZzJUfjugxKrUKUl7guqmDTb/YmaWCSzaut
H7FizDpEni1ncKjgYbBoTcKp0Xmj950/3yWzEzyUOKneydy0jrEoaX2sBoLrDUx0UZ9qR9b+yQ28
7kuHq+B9UZWUPkaK/7lBh4R9vg30sGCMN0RiCLiMJrBBv0wzkchULON+JV89e+Y848KvDQdrTK2P
avLnc2XVNASWjm7WLTsDe3HsLDkVk/ghJ9oNyUybNag1gpzQ1IbZ+pdcZtyByq7N+6wrmicr5sgL
Z0vy1+zZIPq4dpznJeFz4ZDwBRxjdeyaCn6bbiXmfR6nNd22hQw/dIOZq7YFv9MXVvNU5DrXHhSO
wgFj0q1r187Ki4rM5GuonvmlP8ZGKAl6usrjbDwivgfwzzw+42nr/SSLO0/CcsYaZcO65k++PdAC
8qvcMKAMHsxhfcIYbxIWpXN8PrpLjVXW1MQAmohlcnxIukJktxry2Sasl5yf0mB1nIV+VxQqcoqB
+8Jcnu9I/khBtbXYmhN5mpdgHdaXTKWQMaX6J9An29oVJYYz4Tipt5RQWAo88ogeloKCTXXObqlS
146KOIsflNnlt94IZxvteYu3vVGa95XNAiQWd121WKLtxIzudrcAtyarsyD//L1DWRdRr1tAwO7E
d/X6kdVgyo4ni8oBb5ZgATNG8DnYV4XnkQnIFJ7Fp5mE48QjfLrQm5r+CxY+jHB1MnquU1zOpw2j
MR4wxjI6E5YgWblzeVMtpyonlyoSQQHKNbJE3dBgW17WjJXsg5eD12n5CKEWqRXfO1Or/1oJmeYO
UjXplNVUsmJipnlf5nkl2wBO8+zGdZ0soGpPCMbB03gLHktnaJ7QpPDD+hZ7tsAxcVC1KyK0qJPR
9hjNk2yY3L4v4UzzuL+iqy/qdbPn6yKN3XG+m6yBWzKZyXKewdTOTHzqCzvNSRomDCh4oJbixvWE
2CAsKXwWzODp9UXBQIsVsG4JUoCwg0UsD5UgHXjYOgcHhLz2SXlSHlqHqBTkNa5xb8O8eNByfdTC
pstT2LgtAGSBvRa+DPUCRcBEvo17NtTpKSu5HKyyjhlNWEKK5MLfAvVlgWkWm5welfsTS9u4H0nf
2y86szrKBx1IFEcBbOCK4FK1Lo+wzxZ+Qs1AYDVX9yWSdY9+/5y3IwQUCpKF8zRRwUYvGu/gOlLf
6QXDA5wXtA0SNE0iMxVcrzXLZNopGn5sptkUMSQYjC2g1HNilWY9pXdLNzdXcIswM1/aDBkae5ng
JfvoV0ILtiXBArT+JCwcGfSSltVzZJAthi+K0wzcwdKe7xoWOvBKKtonocftIcD7Yg/XxLz3cF64
BlxmhE+uslQfugDe6GEeOCJpeYLLWQhWlBYwGt4Upmbcx2AqzSmpsZ5H+Vki1SdPLsPCQ2V7xiRC
RePEUyKW0H7uMpOj2YgX1lQM0j6GC0hWG8muwEKQ4Sx6wMow7tthMe5zMgBIOJUo2MISayDB1L4P
trgCNE8EP7MjSrc1rlHLGvclzuvY+5XNOsdF1s9ONMhSONlki7SRmcTdl0TQ7Gepw+oO+BXk/gYP
MnOM/MJuBnkguglWwfuax0OXD+k91xyZ7br+B5iB10M2Bg8QaT2uU1+PvXEy2v52pNefd+CDnG+g
6z6orLWux2Dp/Khp/eBBsxQP8tuRlndGViJnnVhKTuzLgVK+Y5zcjjaVYmNoxtl22V0FJiw4eEzc
XrLsMdnjz9C+2g+rPbURza0j0937yVrXqeHuJ8TTD0ZG6fgwJckiPjnT6hVf4K6UhcY4ZXs77Z3n
gDjULf4YJWrmYXUcJps6nYOjbBDj4t6qry/nOOEEZrxmXE8Kq66woH4YIr/2GwMjn7QyUkbqKeFh
KAHLCZengRIiTOqqRlpWq+CiJJQ5RegXzwm3JAuKW5UXcO6y1cyh6LXkgVcpKSs9KYsnu9LZNYK4
gGsoxZg0phwxNaH3ppNHOKy4X+qqfKgTQ54wFBx00B5/WjO8LHmPjP1YB+uLqHOr4j5bkuaCd4x/
NgjVQ8QgR2sHQT+D42P0145u1RfdAE8e6Ub6MfNaUHIsbT63aIQ1s24vOwaYkQSU0r2cPUCmrFFq
COD65dilQ3PB+AL7vTMkrBofn54Z1bBrmq7daSh9zqgdw7z0iAW1Hf3T4ha0PSguSpQYMKpKTlVs
Ai3bdbE20Qdz0+iwfuD9YaKByxBTdheTrgjSYXkwmNinYWY3PpicsHaiMkdkw8hGYMBMJycnxSBC
A7ogAamadMEueCm8Q8CyJAOpGyDTmUzALnrLVjf+vKYn5QGvORxUVqpH00PYND5CDqqvNN2tbjIl
/JNnxqxeYxW4g4wRlJc3a1M2myH0yeFCzqN+5WHlibm25szPBYmTHxev/Gijmikui7azb1uRVlsN
5NWPbIUQ2x+t8a1jyEDgJZ1NB4RLl2aY29bxss2aNbVb4E0d9LEdN8vcl9vSb+Y0YrKIHZPV5Vc+
Q5wFO5TB/ZL3frVTwxTzHs/0bZJNH4MgJ1wtg/TqxdNnpL0Rw0LvhaHZcpc6hMwZRWvuLIFrl9k7
8rbTua1uULnMecv5NR/Mew3UNDTAo6/8LGUWROhlVHtDuasXzd7HwehdNuDH26Tt7lvy+2CkuVRG
265s66uekNuNECX1CULiLQM9ENhSGicTotgBm9MOp57BvqwtBX7lzNWWYBjnw+xidDq3rb/VAmjq
+WpEwgoRZxuqkkfVqSnxf9k7s+W2kTQLv8q8ACqQ2HHLnRQlSpSs7QYhWxb2PZFYnn4+sKtivFTb
UzO3fdHVFR1tkwSJROb5z/mOOPEQwGNjqWITktneZzjhyO6TlSnMYgeaqdl68xPCHCsFG9TvdnbK
F9bSbfzSBkO9SvBZXDMkv+vi3KBhqdDPaZN4BIYy+Ym6Vu045lWG+dVz+XM9e9fPEogC+xLDmA6S
wdw2iWX5zOhJsr3rcBPz+zbSBwMa0s7tTQDeM/eJJ69LjMjadK6NpalM831PG9eblubPg1anGUJc
BsSradoN4SyrxD/YI0pPstvqQRqBqUxrYHsx6CXqu7ZBGMm9Kuz3ijArsFQYSKLS4aZAc9mPSWO+
BY2Orzko2+GZHfGa3TVUS0zRxWpM9XQta4vgUs2KwsrfUJxJD/NCiw13p7dkmPIoo1jVGKl06jPR
H6NOYxJUmV3idywkXsO1k7Z+Vn2aiTWNYg1+TJeZQXKOAzI9QPdyK9vRcqJIgKVDuIkSo15NHlTY
QFNkjsMoYOJfhmawlU6ksTA1sbOjpat/1NLW8Hjs0S+IO0YgEFd4EpOoXpOUKPG8c1/EpuwfGZRn
+4kQ3sJviJXhQJ2gtM0AtcSNN46R6Z9ojfH4iZukj7UDHl42fiykOQ4q2kTCY1jngNZk+0QRTXeV
N961kxbtkodXcJ93hv7s963TLKgxCeQhresxfmqdqtP3yKK+PGi1mAyEb3MuxfXNru7XidDYOYUc
3IJTIP2e3awiYjaArPBegjpjUQ8gojJx0foRMN8CWtBEaCxJiKUvjczS9EXYYjoNKWrTO/PFQ0KG
h9glM9owprtvA77AzvG5NvzvoAUmsdLtXHr8egy/WdtY+tYYv9htkTNmI+Ioi2dTXFfZeNDFNJxH
oxcP7EVpB5hHYaRY2J99c+L/Gw+AOZ+Nv5lg0MCBucaiSwGCLDjqC1f9m0EiLIoKAmMd7aiZ4oEZ
lmwFgQb1fQNFgjBWW9yDyfWs/VjyFF0NGKnSg7IMde4s5eMKUb3/qFOASMLw8pgWjL+3WsyeDqAg
u4mYXN06C8p5SzEfPQtfz5qVlgcc3lK3Gbrredb//q89cpwzjO8gRXFNxmo4M8gldK4SZlzzY+WN
Cl7/COjNw5VluxUbsl9fjp9FSkGbA/+ZwTE4I9xZxPzmciifzkOTTsRdESiUf5qXaGCOnJR6x4YR
UL0kYlOsnaGt32A5j+dacuiuIw6lMYm+c17Uv3tHf/cF6QBPHdNymQxc3vE370ijcG3qeADuGnzc
nE81MNUSbeWxRatoybbP57jeMNp3S7jmvlJslAsSBVA5G54tSzxF82GCHfqvL9VPWqrALwXIB+nF
cBFgftBSuwiacSXjZBeUPl8oXXzm8DRZU9c+M/ye6o2VUxO5Kgs7YzLRp2zbfv0G/ua7spiV8Aum
q5seAmNOhH1zZfrIYUpiyBCUpQ9LKyjaMF51vggMMKRtFHJMCaptbMZReCUr8IiEr9qA4mApHihh
EzeUl3Ee+fW7+pvLgv+RIAwHPsciHPP9myrMDjBgYoU7zAIc7wb2jeuBOZDPXj7IcPka7Jm7fGJb
jVBcvfz61S+36/e3M7YKQtf8h8MbwZwfXn50065QE9dkzDhEY+kc4bq2BG4oOcuj0cbtadL395DC
r9uL+eBWWIBUr5RVV8bJckaV0leayjDayVl7qWoydR8tpJhzX5g8on/9ho3vPUjY3giOA/UlQ4sH
z6HT4vs3jEujjuln1LZmZLMGGuVURAcPfh63GuZtsssY4EbDU9p9YYCZwA0dsQ6MoArviVWzPIUm
Jv0lkdJsCRqUf2V14p8w08ZwfZGHTKOa75FmBppjBg3jXYkDHDePW6lwHdIOu5vGnFe3jRTxxklH
xY3FgeD98mH/M+b6zZhLsJZyc/57JXr7tWzC70dbf/6Zv9JvOooxSjEcRtJm/9KZ/5Kg7T/g4iJV
0K1B0xNDrP+RoBGK/5pl6X/Q08MPbDbLEBM1/skoiykYv8rvbrMZdsBfpjsUJ1BuPyvS3yw9vlEW
REZ4TJhe+NKnDP1lm5ZrgB3PVBLcN7D8CkxGz14unoGXC7aT4waAyUGOrreetNrYmzCQ9y2u9UUh
QO77XZptmUoB49dq+J7Kbz7GQDmrMnIh4XitfiS2UL2CPNDPmjEa24kw9sqkg3ZZeXG8ocwS9jCG
GsAF3m0/xWxjJcpnH/f8bSRGTLS4dasZgC/ZHx902Sxp3zvRlgSYX1pykWTDvmnd6c7mdl+Vbu8u
xdh3D0bsp8twHEh0EEVbWJq46yfT3rYyfHKsHPGlZ+bjIpdcSz0WV4nJe9L1Ir6FbsY+BzIu50V3
bWH46waqTjBwUtjn2FBz1FvZCZ7wpupXDcTAzzHD7au0tyaIBxPFuwQ3tjZ42XVjNe62L0ZSWFY2
rEEBvFNLa26szghWcerMOZjuzVAjiFKpDkiL+YZgfL9KJjYkk6RR3XdhH4OSOud1u5GXvhztFIwJ
7dlaPewq0+8Xg1uKs18Z2bNUdvUEaGCT+7O1XebnlIEH3TYoHYvEg8C5JIhz3VRm2K9ZoPRlXdTp
czeV8V1qRuC7WkoAsYgxCahC1dzXphbcG+joV+wcJlIsuU1tkXRqMDJVfMOYpn8OfB7kWIX9xyE3
qYsEJ94D8XG9Y6T8fN32YMHqLvPu3J6ypSIzWdgyQ9k7aTJhcDkwOsvEVdljkRag0LIIjyIWrhur
oEkGs0JWplSyV83RrQ1vVcWm4OL5BvnKqKuJSxlVATwiCCBfkEM+zHuPmrhmAT0ozlJiFRztYpBb
uBVmI8PG6N3k1SXI5KyGgA4sUOPo/kZW3nsMLdZDHpf34LPFjekMSKXzNgThNHmt6MTDOUr6Ewdj
OolNnuCOvajPo62Iu8iUISxpuGFNTmGOOWA74iiBrGnTob5qas96q9GTHsd41D83HVsfzeTYg2Ig
uar49FdNpOZpBR2W1AmwujOgRv4s7eIALSlmsIs+vCInyVQl5Kdpd4Dgdnar+PD1GI5nTMu8x7zU
ESWdDrmF+XGKQ5nvAUY6f6HANlJTfRIX61Hl2F5kXr1E3H/b2KGECZggxtBgiJH33NnsW4kivhlr
q30nTqO2ojOrr/bQDLdBV1anyztLgqTyNqoT/PUZ9rO7cCKXGtuNTW9qEHl31sBv0NJk/pHlkXUo
7KJ7aBOrX5bO6MAnmT+4NPPxPHa2/OQOOf/HbK6osNW/OsTwIup+S5a1t5LXyy8NBgmvNoW+4jg4
GvZVPKCs4akpTz2G2mgRIdHygK2zR5R946kvtLhcy9xy78hTWPtyluQFNiJAW7A1jLBzrV2l+FKJ
SBQHoGx8awZwrU3W5/JdulF8U+ilc+JEMl7VgTDOgZ54576msTDiFwna1reDVyxy9QJCLqnBIhj4
i5THK7oj6mkWRto9jfMYr52kvAeN629LCBfry7eV93l5H4ezaNmmAbkvIZW3LDEaQBOz7KNA3gkW
nEkjApPhHEqcGzdxifGr52TMAJ2KDfyPKKYlG+hkuiH3eaPq8bbT2gdV0xaj7PK1iPHtkBBe+t61
IbsTR8HbSOkAYWS0own6w+79K98ss4XUgMoY7nlozQ2TMw7S02OIFXhFZto7Eq9loQvgBcDMMqqx
XHpGUZ4lzzEcmmYJ0zUWztmqkk8E9ZC0FWt4Krxw5biVuRRuYS3jfLyh/3XVD9SzB+XBLNzgFtP8
cBKDkWy8MhzB3XlOtHXKFG6er6z1yIxp4VbsfpSCdSJRLtiUNuK9CIelqo2vdUF7ZU0E6CphW78u
jFzsTcP+0gi5Kzz7jt6jDINuZ55ABAcvRAyeW837QiMdOOyizTckNVHnxkKttdwcV0lLnThTANx5
leOU9x24CCpAk+k9Vxypp4iuXCi0m0oO90XSVQffTbdmIlFV7IkvOHbEZqi7YJH0Y3pMHfHJIYTK
aLHep8OY7/Esm7ueRXile12F2yGlCM4HRxxOYITL8qXWO2sxFKV+RFtxsQQzCuG4rq9sTIy6yOsl
bL1FJ0ZaCirshp77FaUl3ll9rb+6jkYNQJo+SNEmb6CfaQhP2CjGZu0tIdYyimqRGiw4/EQ3p4n1
wFTZLkzICy8YklvLCbyYH9zXefsejTKgyMYbb4aIUOLaJHIml4U0gNZTLkyUVBnFsRTODZ7A9I6f
FdB43F23Jlhz7Ci0LC5zBLxdWqTVymqpY2iFUX1t2cKuye3tMUYTW6iqtw640ar26JZPhHrWqdhd
6iVPe/yX9hZ22xfKqF7qyNzqYx186gWCh2mmamGbfUrViq1dNxYQ3rHAUMxtCDSmCJ9JbbTLojUx
HuveEVZnuGaT4L1T66HOrh2LTynUF/YQUKCWlKiPh552PmjhyLLDklqJT4kLpJ48e/61hc/zVTZN
dkCQJpobtsGqVJra8EzvN5gfD/TbmmskNv3GDZLyjsPyQMSkZmdlajZz8Ma7qVTVvxb6mL32hmDo
S68Ailg+InDGE8Mds2Qll3E3x9U4xTMh93xmvUl4VAOg/UNroIaRY5mgu/oo4R7nDp1bInyUzqCd
HMEcLDWNoeZLJG4fNKGG/Jl0R9duLH4xBZy6kukdQ7Wp5zE4dOVNCZf2YEHfXwe1nYNOrYNHv47l
uU+nOFlPNEWSMPML7UaGnr1np5BuhV7W63igTQl4UGmhDw0fBC+Mk8hD+alv4n4Hibt+cmpZLjLW
whWjODLgLj5XjRwyav9ErTu7sFwp7aCXLGCVMOpdGdA0VzUyWSbBGGxKkEy8rQyPqpV9dlv8Om0T
9KfU0fTrJiga6Hdls8V/qZjcpMGSPcP1UHKI1LQtUSLg+N70kjRNWa0SqphhX9aklUQqFjFR3k1u
6XJZYsvfTiVhkTgCVDdLQEYHUMnOWnU7pezxUlWSd3WUdxr7Oruvk7ZHpEu1F1P6NxBx26+9CwW9
dka58VGoNl0WVIw0aVtpcBGsumbiFsesulAeIieKyKlwUTUrvxsXLbVKj7ggtkM/hKvWnO5Hx3Rv
htgA8Op5yXYsxJZaC4oJRLOmRTP8ita+NcmpLxR90msVJ3im9GE4xErABEjaYA+Y9BiH9dkKbHsF
ez3Zj5MzXAWJR1/9KqEwXqzxrp79lNVVXLkdCEy1ZvqQiWpL6j8J7yiGrKE1deRMF3xgi3IvX8PN
/xhiFaU6xNdD0A5un43DfmD/Ox0JMYwpEcs8tdcElJHIvYossd2lQ0IUXHVducqB9RsLKlvoyY5S
r1cWHtqgNHY8DZ+G3LrTdF9tcqAby9Dq+nuAA9NajFN7EyZ2Ce7Mtq6lPT3Xkxmvp8o5xz6Z+2SS
QL38wlhl4PxPtHbbn9uhHJeJUUyfRSvkdZ+72iYW6msTjsa6tw117ZHKXcGHsw7g6HtWv6i99Xv8
2D1lwueQrcraCDpzNWruKy2Xc6t8l7z1MhyXsdZY4HuBj+da7CzChHZywjDFkj64YRlUTOeqgJaR
gaTvVvf8B3q8hwUFPFeTyUY7y5J3fPMKb3hOw4tIl1lpfYnwna8CGfuHMcQGjvY7b/rDsZGfdavH
sZDaybHvi5Z9fGvtTCe29wB+73XVYXit2ctoq1TJdE+yHurhNFnj0YobSjKwZjxl1KJdt1H+hQNo
mK9Lgy4d3G9khhjIlau4iL7Uec5TX6vzd1c585pFV/emK2K1aYTevLB9cUgxmyh7AYUP7IHOZpzY
4ECmsMUUkZkHQHwUeIwTd1pX9I8OOsYVdTrFccqUB6hslNkpLWrXXk6eGX0uasZDC4bXwyYXEY8C
3Z/RzhwNS/YBme+9Y4Nk4VChLc5xF3pPoJ+rl8nMsfKBIKoWKjAtjSXf9Ytlp/fFQ8Gmf22LyaP6
QpabloVx7YmJ6ACo3qrnkEXRTnoTY0h8ETTcrpzahaFhFxGhBpT0EsJbyU8I8/kpKT3k3yL25QMY
wIZJN97jYsKbzO5ZTuNyiHvc2SvaUOiDq1v1ERF637mmjHcNGZXdoBVf04GkLfAWl+Nje0wb4A1V
2HhE9XV1y9ylOiP3T6sU2BykanAbdljCVwvMeJX4XnDgjX3i4BfgT4nKDd1I3j4jJ/mforD/+l8V
hRm6bSFm/3vV5/qtbd++RF37Vcr2W1vzn3/yT+3H8f+gCwEvo2vbpgtrDCnpL1+zOZeCgYs36KQk
wTjzLP+0H8KZJztg/ov9Tvn7rE//qQVZgmCvN9fgQsJCPdb/ka/5R/MhHkcXCtKcK+bF9B+LZ0k5
OFpaadXOi7OPqAz9rebhn489pvvfXJ2/mdX83SvNSpoJvAnX5SXD+o3olBVWYU2D4JWgVWIjqV6r
ohxYS6LuN0OHv3slXgPQG7wpso8/yFuh1Jj50cuwkz3W46DTT63KIU/W0+M//kiEnw34Ubyczmt9
r6MpN6Olppmq3dimH2mWfqAKfCT89//lZey5i4Bv/KfviLkleCcycLtA42Tre7PSEdFekQ7x/+HS
8VtFx6ah2fVgcH3/iUJYPVYZ8YkUFKfjoLPL5SHsHRtU9F9/qPlv+laD5IeHyE/TMd8TFlxAXt9p
kK4iV8bckjrlWQpyOo784fBI6vHxMgP69Yv9ONa4vBjWeZgIBsV9swX4W8FTE3bJvVlWMCpngjbh
sF3i1TiBtPhN9+ZkrEUaD6SV/Oc/Rc+xTBt7L/ItBYDfvzBz5A57YVExiEBK6nDAgF7SUpxx/Nuv
P+N8wX66oAQdWBWoruCu/v6laALqxrjMq51GccAu76pxTYwyuP/1q/zNveXNPuq/XoUl69srSUuW
pTRsgDvNH+wroxkeQXMUhwsP8P/3Sj9cOrI7UamgmO6irBtXHHbeJrbgDEl+d3uJ+cp8d+V8nViH
I3Qdci9BuB+GODzxA56vLVVDDgZMm0beheRstexN67mOXW2nmZVaeElkbOwGWxJEst+1wf9kAufC
kXxh9IWKa6GM/fALBZpme3lJx2mlwHhX+Cbhd6Ek3E5WPhIq0Tm8+43Y1IwIdjpJsFWSmf7arJGo
8L2hnfUldjhvIMjQlEX/BZmKXfjsQiVXMyv46cfIZGIfTgS0K7cNFk01Ie0Zflnjl+T/MkZInjoR
RGwkZPhdbOl3+IWMp9Q1yj0txsGryhEv+3wADOvilinHwt/2CbdU6g5OSHdwp+WLtBi8FTITFnOJ
B4nJQLGWhlvcww+zDro/9V/qgAeNkA7v3RG8SmKVV73XQkhnXBCVa051+ucknbXDlvejGb71lgd8
aLaxVG3AasAZjh4h5wLMJQZzRE/RZXQ/1By9wNNDJKj1YFhD9/MQhSqNbgo+3ZSzduaJKyHrU96I
5J4iDyKAOg5PIc5eYiMpaJJL5QvzYGGz2eK8LK8EkvHKyzF5eljd0dp04ymMlH01hCJ5Db0ye3T6
lIFpi4e7dnKD5kL+IgzFOHOr3KIwzAkUOmLkQtpFVR9ZbgbHQqDVLDK3uLSI6BPru2NILl8DLs1V
lNTVyemSDzop6PFNHOOJ6O0HJU/BPQpcibNnfveQGa/GzEAYbyDbzWQ3P4tuKVcczsmApZaHioT5
n8dbFQL5ZydC91mGAnOIQybBC4uB4k1IPPaUOGHx4Wi+uBFlwkXsMrugd66nauNy52W0MRwmePfH
yOGSUZXFx+zASIOyH/F4VOGDN82W85CqTQrg5ghBjawKTIKxZCZVOS3LqXGybVwYegXnTFU+rC36
9qKgYsRsCIXmWZSzrdXRi+aosSV/8gDuPiCG5R/YCAhApuG4pteRg7Pu1TuLquLHkpv7wSxKfj8Y
em027KSZ0gXiryo33cAIFmgIpQ6+wVcgaRu1yRhXyJa4D7QlhcvYEWpanqs5rcsAlqfsNFKfILnv
KQPO+ip6lDCm1BaAYPKGiqxt/Bl04DBuCal3UdRTY3k7942vnqdmSrd21UkqHrWGas4EjtC0nhIU
SkyYYd8h3aTi8+RDXDXwYO/pasN7j2TSflKQ0l7CxLKvLrCHHDOyDZlbMw/wa+NxBbiY0EPKN2FH
FMjVBCQOl9FFM9B4g6nsw+AoT4WEYx54I2IjQqR9jRrWfhXlTnQTwv9i0Jb54CD5hjp0Mv4xt3tj
ll7ZVEXfJ4rQ1CrC/fe1qHx7Bzl8tgdHHOVxzz9X7ai2OJ1mgwkZZ7BxXnHorZgx+yx2aFJftiLb
Urb5VXYN6eAWPbQ2drJUn/HRxYcclNi6o/rziqexe3cZ3QgoTeuZdnat6PZYhyn3uUVJM4qymz7h
55qudJ/T4IRmG05DJYFxpW26AByHk1Nm/KhZFXEZZdW4KvCPnUz2tZta465PO1xmSlUY9Fo4JwTv
md31VOIiQudkR/jcRp684RsGd9An9ls2tN6dqeakTNhjfwbTcRg6flG4F4PXOWCy1DPKYVXBx6fC
mtsopzHpBOmz/9JqDQiAsGXNiazUuxMOcwBLz95sm4WyaVg/MKK5d1NMxtdomnEVuDV5ANvsvLug
TJuj6Lu562fe7HU+ZasZrSqrhBwG1D6kEqfnpcFPN7u49eTSoLf3S2QXNI9mFAz5rc4vGKouPWYn
s+KoG/Wmx5eQV6eW8nJCfbj+kXP4MfU1Jv5FLihTc7k6pEN6hJhOrC+rbh/FLzL1xFe9Z7VS82/E
xgV2kyJF3CQ2Zjs1RoDMezYzC02T9k0S2pvWSvCZl3MzkTlbSGSJGj855ScMr/5pckF4DzpJfx64
oMn4hoGo67jSmSQWDwrXOEnlojgEU5fftR1rjxayevQ+N32qqAdVlE1S6mjXELeZtJmBoX/2RSev
oBGyJS67k0e56o5aboZEhAO2uR9q17KJT2Zs0uyZJO1pHCJ5HSTTU6yb/ZOXUj/hjXjSrUnQjuyT
/i6iOj9VWhPcZumLWzc5TsDoowxBqUI5+MT9/NgoPdyhCdAEFSK9M/yrThbj6IzHIr2JDkhHmwyk
4fLQu6QCtDjKHuuClbcpWHH03BMPsQ6pYznxlVb/WmQdq6XOh+9gw/GP7m9nmElyFgIS8aZulxu2
1WwLIIeGiCoq9FqfDp8Rbi3aA+fMmp9I4udLEeoEg9D9/YVXgTstMO83q1FBuV+AWSWcD85G6hjf
+xrdITc+tbmRH/razA8lrTPVsvS6+mBmbbfqRD4a2QoXZ+k6V2NvDDk0PWxwrH/kqoNzbTClJ+aZ
RNrWihUlzQxKTYXxOQ+Ud7BUVxaLwOmIvi05DjQd5En0HNzISQRdnjLZr5XtEOiKQzL9WGDpo710
pJi1ra9rjAc0pzCxHiluaqS8hWmNgJpYHWJg64XJWoLMtbBydwKIWivaVw/vKQLukN33iTmQ5xIw
YOf9vTUHWUZ1KGigXcWV/tnyul1FYyXcWRM6p61FZGG4v1g41B0xVO1akEBJVtLN6TOgVmDLfWrA
8E3AGjDJljv0MgggdfBGt326dnsmGIZeYnpwa/FMEQAtODyj8euHVLXQI89A18/M6YbbNfwSZq7o
6ERjdJa5tLiRvtP28QCoeOOCV2DG4LB8WyG7Ew5sMHt7i3DYquID7/CwkqvzGDj/xppm/rTJnzfE
wjBtx3XxiPx4Cqxmx5dndekuynPr0Kk2/6AsmyvYQ83UATtYbK0yxEqabhLs/MphZyHotjoxIzaY
4uZvPLgKGsCpXx4NjjqEBnEsZUx1rywMGceiSRpGYHgrpZqDchcmUhhwD5oDJyVQonlwb1q69UY6
BJebzz+2nibcuzEQLLfBOGSPehwnr5c1EEM1ech+ou3mN6eqn2x6NG+ANeNERc4T4suFofGNbAGn
AL251bNdzWZi5SDOXsuwYzzuNeyZLtPg0dTQ3I2JPVbqN8SuGqbQTLFD8h7+787NPzrOLu8HwUYw
6p21hx/PzUwvWA94P00uHjt9vIJQxpzZjd+KrDsHI4/8X5/Dfjqo82PQOalbFqB7ZKcfTketpew8
7Cuaw2s2pEXAAFMUcKiKIrowH8r9r19P/N2vT3dtoKPE9006qL8/YhYNmz2L4BOLa41lgxUTFbot
FKMaflhSK31GzfzWqG/pby+PYPqOhLON8BtvIkJXzMcIMV3m62Bsfqdj/XTO9ikr8Qyby0LQ2PjR
OSpHp3cqMm87hjTx1tbCkmbz/nf34E+KBa+CUGEw0rEMPL0/nAe7uFOBU5TxzrHYuToAT/HuOnJZ
Gz6bfCeFCzYm7Nwj+mOff/0FGD+fh9kf4DfzBPErfLs/vDZEU0s1WR/tLGY8wY6YgH/UgsB/zTv2
pS1wyPHka8QtC2t8pL61/gDH16/lqGwoISXC9LzYQQSFleqZ61DSUGdZONLZ/PrHpCzad2wTgdzP
yLr/5OX/d3q1AIjHWvHv9ep92X9H3/jzD/wpU/v6Hxfv+OxOnFH8f0rUvvOHY3F6cjBJ+xd4//9I
1Bf1WjAGQ42eBTxulL8kauyKxKxwBUDA4feD3vYP0BuW+YNfcV4GEOMdY6YVGdSimt+vCHQQS1W4
sXfQ63y40hJwzD2Fe+fBtNP3HMPwnokUyF03s8NwQQV3emOaefOSJA5QicBttVsRukyUompUt5Yp
g8d0MgLrqo6H4UuEDTzcU/ZTB8ug4Cy0rIeJWS11P+tgyNzH0Zb9XYdTDio4ZYTBAS529q7UaB8V
+sJjNJTA9qas8eBvUzTLAaSEPCHNfh/5VrxXtsrWCUQ9Dn6Fb7Mby03nHftQ9pWWin1IqBog8qCe
ZFxbZ2rCumnF2Tj4kMQVT6GmrtOsw10yQuaDDWvWb9TqqKchrPMlgPLoA+sYDn8/tFE3msG9rcgt
5qthNNtbwJwDdN9G9AsfT9CHm2vaXVkkzBiRYMMbpRm0E1kVNPCw9Qjn9KVpHaFcprRzJJPwF3Dx
o7cJqMguc4J2jdckehGjicnG9HJv27qMPWCkO9n9KKLo1Nndnn1vGe7ingQR833vAFNFbfWSM/hq
ynPnPo9CjgZYpTN3MYInojxSGN20iNJChOyRSv99FPpQsetrXPoGZga24zecdYK0PnRBSg9gK5zZ
b10yyq8H/2qmIS1s3DAgnfzKu7FGmsY3gXKhwLt5vQthE+1STW8/R1rAqcmnjbkkGedU93XWywP8
GW1ZGgMXh0C3BDBaZCcI/a6+8MIpOcVsChk92656znjqLpzOkt4Vs0kXg9lE8pf6P9c/0D0TyFXI
oJxK16I5FRGEffqhgZubDkEpqx/IQhNRlQeZ5NQGOdEQ3nqy+qCIZex2upzqmCpEs/zoqRq0sL1O
pB+puZRfisZ0KKwMvOwx6IZkD1SwXsPLS4hNFI56q4Tv3Tp9o1ZlVdgbXzMbFwxNbW5ESQhpMcSi
P02yDZPHWsf0pu4mzYsxCgi8uHLrChWfe/oqb3PDH0X2zrcLqIsShybm2gLjom/lCLaOkxJpMzZo
N2Fb+6tclMZCWFK99HYPJG4UxicCi481jhFEyuneagkR4L4XUMKFUMUuKMRsaIKGX3CHorXRFj5K
K920eZpze5vNklAN8fy0X7iFaBYQAcp1S0ZzSWAl2BC5nGs3iYriGWPAGprIS6m4MqQvrkukcSLc
1pmR8y7rdfs4VVYAi6qheVEvxh3sZq57NwxVvlAW5RmF1/ALtIpap+ijHJ1V23ZE+5rA3wCmkQcj
n4NryejuzcHvjx3HWk7OOdhEu+vkosyn+sqBVX0wki4/AwqyKPQsHXvrJIU8a357N0XcmGmZfKAU
fBIaywDp+ncqpKxVgvIIBixpHzQmBTdZz3mvLWDpcAgQ95AhWLW8vMAm0VqAbUB9sLthl5v0IVEB
4tFU96S3plU8QryYpRFubK00d4kMz45TRFgKRbIM8Oosk1hXCF+YZXbN5OQUozrz1S77Bywo0UpX
o793S2taG5nDZttIjDMZtHbF8kQJq9XYe9e28vUsoQ8cAdrumvoMzmdDMhBftKcnM7MsgHZ2sopS
aoSGKooObifdB8iy3VXVO9nAItWyprgla8citgPtiz4NJTUWaTid9JS7F39WcjtxoviahpW3KyfL
2nWaj8FBMHJYh204bAJjAtdT6PmyB6O5DOO0vsk7xFoq8bwrSknegBJzPAtxKAxBTjLCr+U6b2d3
o8lFueuzKF0HEyVpSyfMuNqGmXCjeprvf4nJLnPNTYWYFQ9yoO5EK44xJpATSnf/rnRgjqpIpy2H
O32tezDiEsvtNk3r5c916Xm3kQyBhYZ8/c+JZ28Mu9NuSCcWJ6G6eDVmof7AYCzjAGzJF1eE1r1L
vd0dLcThehS1vskqq7tWk6Q/Wrc4BWaplq6JBWQsulHc3ceWWR68qDXfSLiNO9Os++Ng1MU1QlmL
u8AWp7a10+UFd9/m/XgfinymLmkivsGcL49EAtWxtbNgp0eku8G6pKvS8lgys/AEYj3ZxQwzoRx3
rofPyXOx0JvhCjujYcxdGNMBgEK0yUmc3MRGFnyKiqmPAIva7etISggTrKbio6HSdoc7rcZ2IobP
uexSeiWq6cFUprGsgsRFj6BnhXR23X6qw944TlHQHynuwFeUOXrC762OzjaKyD3UVmMzlUlFBIAq
5iW2quipqqsWW6GD9NeWc93qvNrzRB/eorTOHnCyA38mFzusewJ+QOCsCYt5Jw92I+/kpTAhbExB
e4JeOz4eJPb3ItWfx0vNQgmEJn6CLzT7cGXpdDyJ0rmZYbqUNJCXytedoLlhRO/AWD33OXhzs0Mw
dzxg8mIJjkzS3Ri+aIEIo7Hb9hRD9AN8RZoMQqRYWiP4KrNVNzdJmHOnhE25RBdq1ap26Ju4bPr+
k+L5XYpndlH8cn9cvHNG/mGLfPkzf26RoUXNe1oOZJyOvtsle94feLV8EGMmmDoOy2yg/zJyiD84
yiIfsMaRELvMuf8K9bh0X6Er8Mfg1xmct/7RLtn6SRkQM5RqzvWYBgfUHw+mndFG8RQN2j4ABrUy
6wzJOQFzvOiY1LDE4slFxm9HYMYdRMllGgIkdqImv56cwBqWAsQdteOxenc7kZ8mTOuvvp7QpBhy
5sSrxHBvNZSBxIY3Fa+5zWwR9cg4Yet0yN+oxvxv9s5kOXIjzbqv8lvvIYMDcAy/WW9iZERwJnPc
wJiUhHlyzHj6Ph4pdWdGqpiV+9qoZKYiwUBgcL/fvefeENEAlsxDASdZG+QuUQL/yVNZ/khUdrgz
h5eiUhDY2zh73+EK/sSwZzDWy5CDcs3Menqh6RGlDS1+hm0CLimksaG0JzR+L8qIQDYZK7iM5Yyt
ChSpmQQ8nrU5wUPdTJiY86C/0Wkfe9fjFnY2Ulm+s80r3DZrZQNCJvyS2vsmAGkKQyOMr20SJ/6W
bpuEUEuZw5HjaVu91tDsP1XgodHvZqL1aKEn1PXx1S+G8hMqMHIz9Ir5lIxZ8zDXafQC7dwCZkdj
BvBnYhAFZe+ku7GD+ePtIqfqXtqsS3GyU4UKKnX09vmUZLe+XUwP1GcsO333z2118DyCfqsG+8pQ
0jfiOvN+tBLvXjQt3IbULl55jwsgNQVLPinqQ0g/7JM946Olq63dOuNsX4VLLfIVXO3yKDvoN+m8
9Cd/GnngLK1ojsPCa3BlRhIgZyIb79o3C4unljHn7+2i7p96Nu2rtBcjzVnZID4mXhZ+7Ix6OtSj
bLZlGRjX44KVk9C0u6rwdq/HKVyul0j0H/Jsrpu1DPCRjKFqTrHvD38GKljSVTR3RrZpcye+G5wy
39ZNUKbEfoOGMiXhDTe5MSmN9Ouzl+bsdWzBrOyjhKHTykrH9nMKQzVfjyGS1Cpr7Oi+9BnIXTH1
Tx7jOrM/WFGRPASL5Gg4d9STwHG665vYOQkrHUzyQlXMXL/DoDhjAraQIa9GCrMeo7hgUQBp6pNR
RooFfRH8MarRUzvXLCLqacifJlvCaMEjFTv07pIjqwzqmWz3PnZIeOPlZcHAem3JXp26soNVH6MJ
R+ZSbALQ+eumgMHK95i9G0Ub33tT2t60YmatRLQg2IpqbK7jsHRoQpijYsPlWj37dmPe4Tuo8Ek3
/HdRRc4NpJq+2gITq2/T0quSdjUW3OUfAfekDmOVCIwkp2eyfJMwwpCY/E/FDqvrVlMwzKn72Faw
rfLr0jSnEmA7ia+FyVg/rsKBQe/jPA72fKSiLr1qRvde+IjmteMta9tOIlCQKniaQB0P23bq808o
RDPdpyH9Vl7vBO06qy26cIpWPvXsCuvVnAheonTO4mJPzFunLqbrThLqgLUhV4C6mN9QmIvbAaal
b8O2U9wvj2HLwGiVkPJ4N4WjXVy7fWem915CHiPYOPXSm0/O0hKxyleeW0raXhvjauzVe4fOpwcj
8wNa8BS7cVsNxyEq3RvqgRTLtwxf8JTTF9MX8wMrN4vGACgclS8j9jFt/jAqWz3mI4tuB37dLrSD
fOtRcLHBp7UqwhaBt4lvC6g5PY328DeT6yE9ghPmN9lGs++9sNkGifXJDWP6Y1MaqlJr1TcQeilx
aPk1uiezaZ33sWM7h7BV1VpwWnY0krZ3iel8Cvo62pBXhLY0DsYNO/LwKtJP67k3P5SiQ94gJo7m
8btqhxNEtXwdduYpTSwWSKAEwVu18bvJRj7I0+q977GNAezyisU/J9ltPZpYPDAX5+8jW925Y5re
d035EX8445v5REe7uQP59DQkjEeKCS/BaM7FyhyzYWOVORvDfmKZ7sV4ldl85yumBQ1Rvdi9aRLR
HpXdnro0jHbM04e9ZQ/ORrQzg3BUTxPrahYfVeQ5CR+vXj7FE/CXYBqdHYswRme9c3L5tilHVHRT
GX35aE5NtTdkyaSJSMW6m6vllgqvFO5QxSrLT2T90Mxz8GgvivbnKOnyh4xB9x36we9eFZvHLInE
aSmCZssE0mf+KyehH7PEt2DwzdGzh6N3I7GMbZpJWtslaQuQn9F8m0/Y9edBqHdLhiXDkE5L3CJ5
kMpouCXAp4CBbm8LlYEdLfLiacjD8IG1I8jUHuq+rMwZT/Bwws5DK5Jlx0yaw5e4NZsHxtzjvTUF
0ylRrf3oJkH51I9wAjvbPbZeUWKc5tJJDfODbCnuYVBFAVY6UV7m8pdamfc6TkP7yBaG5jZyqju6
SIJdT6Pdn2ADdHPltu0XKig6mlVxFLTOLc8Y4zrtEs9aNXHRPJK3zDeNV2Ynmw3aWoZWvQ+mNn51
8px7C4ROuyag/8hFmFOxZeaoS6FE03K9bQKMciOEee+Ritl0VqoOxWLb9zklnhujn+s7OYrPclCU
ngkje4KuAHar86wPXeXQIcbYTHBlxCBqWBe4a6gJ5Y6NBAWC0nb3olbJyRjc4CjbcSa+lUwHt+MV
OWWLezBy4YrNf9bJ/w53lTNlYer71zry6aVsX9pvDc9//cjfSrLzm4TV7DGjlI4TWAI19y81WZgW
TcuOhSyM2Vg7nv9vncwQ4u91MSRoxkwCnqKtsS6M3H5BPWaR/b29D/UYJzDTclAxDMxc92Ke1ISd
n6fR5J4Kq/bFGlSsIJQsKAVs1n0LgatZeRDSeetlhV2Ft1U5I1UpaRo8GRe4XeIprxrTKI5tC+ps
2hqUATjhlR+y82NdONDUDHZrqW+z2HF9b1eooXDG287MEqL1s+WhopFxc7to17V54V5Dq2hfMyrH
SIFQAiosw1s7MY1kOahrkvbUlNEQMD8Z/gJnfTnXmDXBudMM3SBd9hYleeZ1OYlcrtPW5CbxoLu1
V3nD1P6eKqDsSTVh8Kml7ZOnEuKUYDM6pPXJpVGdBTNVawaT1YpDwP3bTucytprtCoU1uqONwJl/
lzWl+6lhKboxdJdbMjgoM9yzu6qHzJWcS9/ScwFcdS6D63QvXLYU+SGljuyz28rmo9XqAjmhu+Qq
SuXyab71TYVnh6n/fOAf4c2A3fAu0X10mCPFtkvpqJtYd/H/0c11/bnEzjz32Z2r7RCrg2KFxIx0
cC6/G3UPHsCS4r6HpvkeGH54sNQ87hfdnBfAlzoiIOkVd4LAuwoRNjCVpsnvXA/yIT2X8A2VZdzF
RenvJ+lChK3ojGOoUD7HusFv8enyQ4ry1sMUAbnHmWTdOHKwPhjnEkC3oQ+wciJN30ZWLjzP0zzd
hWIcXSOY9E6/BQ7abymVAH1rhAB7R5qpQJdAE6dnYflsQADbYcI39o1uK3Ria3llOU7zYCvoMtSt
hr3uN6zOVYfOQuvh1C/uIAiVDk4HS3/19/+yrnGG+MaQFn1c68QsziG0IXBKdUxrDGglYMh2zKuN
14UNTCmesrw4hA8KbBhJbC5bOi2E+fqfJ+q/90QlBPbmE5VASv+azd8/U88/9Lf0IH5j9i4YOuth
mpYX/nqi+sFvEnwRj1kv8HwWJTz8/iZYB7/BNQpwNZs43y2yHd8+YZkW8lxEkgCbpX/ql56w3z9g
oSiZDAh9yZiOUiXrPE/+xiJhu3as/CWMjgND3ZiVkPAeRhEtXONlt08a5iIDdl7dNl03DiYW8lMB
ccehu1JeMeztRjR71s5k5b45jf8UObEuJof8aXw43kTwjEBTmJeayNTKWWbEcw4eOIzqLmBBfOdj
r+JvoD85W4meqL1wDGebqHDVRezWjHpo1wWDhfB3vyzFQyuk3wAEha/ofVgASd7OcTPSxsqN+amI
485V23yolx2itQG1UeK6v2PT47fGxnE7w78igLpsHDMruxgK4uhQmFs5XqbeUXkcXVWTQUUZ9p68
efTDFqsiiiWLbbbtwRFYh9DyRrqdVPDM0z0mXB2Mvn2P46GnARk80qiaAodMbuVIPWPafCkoYSHh
aZOVGxy4wOuESNzM4paV7m4IrTg/duT6M3o6cY6xwbedBxJ3RM0g3uLkf4+h1NirZFFHTD9i34N/
fE3MWN0FhZw2btqeRFQd68ptn70yme5FQPDUazHhUW81HCdjMDaJt/DEzdkj3zaOPV+XUbwzKOZD
iOpF9Wg4wSfTTltggG1VbZYsjz/SQVR7K7OX4w2uCuNh6fGqUu0yt9sxGabryFueTKyrd2rGtjgt
Qemt2tEV0c7PDOeLagn5BHXcQsGTqLy9bSbuo+ln9eOQlPa6CP3iXg6LRyjYViK7Qf5v7XdppBCC
aIK7W5Zmy0DI2jXAWZ9nNsU0N9nlYXJruYfyXO5qr6OKWygX4xmjPl05JK4mO6y33kIxPGjJhiFT
jaN36UAlNpH7wFlvTr6bqV2KbfwYCTs4BsL1j7Ew82gTlmb+sSaT/1x5DIiakRwZDHODsSRQvVu7
tKZrezC93yPo7zsn7Jot2hK9hNbQ4aca1NZKqs6lEG5wdkszTnR6wp58ybjsV7alpnXHlbYCJz8+
mt4w3tIINZzk2Pbb3EkCtt5xvu2MpQSDk9h8oM6mE61QqGcLPD2VxFzSBNvD3YiUP1OY67gfJb9k
bUw571Kf3mgZUKNtRWlMCes8/6FpCjcNeI+NP03qyqkdxMaOSd8n3sRUJYZsFg/W4Kbg1UabCvCl
88p5zxsYJcmTbeuvrKbwMJAGTc6wlDKaTR7lEabwNjSe5dQiBzhG3h0CVKJTUMtKQksw88PgLarF
z5rH11RRlCew4Zw9eOHL2hn0zHiIdzmIkHQF/8h5pcR8BP2Yj+p5GevyOsiDgNO3NJkuoAjpiwrC
NZhqfXfFfuOsItYbw1673XIUI7g6Xmkmcu9llXvIOvUuiMflizcs0zYcW+cQAPdYMThmFg9OuLrl
STh+IuDsw+b3YT+simgpxSZLFFX1vJXHeVW1yvtchl7Qb2SjgHlUQvjDLWqcc6C6iBRqgQ0EK+PQ
xcX1jFXTgvI3DIcqciu5YaCDJyBlRHwnGY0rErORdYfQNj64ihA4XAuoMhgJ2vyOzsAaURG2NDP/
oTKYXwnwpTWzwVuXx8GpiAGB0nieF+9ZCDXkbO2u2k7QCG7oNmuuDby97cbTylSiNSqPJVS+EX3i
bEytYblnOUtpZWtYpLoZrTi+T6wxe1drBczXWlg098WmqEemW2epTLZZ9pqS4GMQeBbTGGK794BU
c+MjpCLktkkrb9ZZhPPOglxUK1ftHK3TqcVujnMhxk+RH6POaj1PaGWPEeNmMVzg3pHW/cyzBEhj
iXOKAxBJ3gjfSNoVYiHG+fiBtJD1oSIz8ejNUyGuWoxL947j1OSK5y7L1yQR2s8VfVlYRsn5S9BX
JLKxuGYvcRM0RMbFhE8QpRjxXIyS3hTbZ2ubMbGieVSrn3JoOVwedcOfPN8RE4143DWe234mgsEh
osDEbs+zeZfOdnpQmTVtG6268myYDqlWYgetyQ4ZFx3PeW7yDA2CkpJKqzCauxOc5Vys0t61OIu8
3mxpwbdF+0VkQQYeuqY/dbT0nb82mtbiU8FugvG4zYcchLclaPia2sgVo+/URNkn+z0qXn1I2Szc
B3YsOGrxaiFnciFKKlBAGl+nIY9+ALLXWBVDlGpqRcH4rlxpQM8QhbHxzbLe1rWT3s6y8vYOGwd+
YJmsO+ocEFlHLZhLLZ1bFnhmyH+oZop/kEs1PqdacFfkzU+ObJx83dYxgrwMhtdBi/QZ1raNKqoJ
KJ/yv+RazOcqlfTDnDV+IMno/aSd4uu2GqgX5HWqTravxwfSjpkTiHbxnG0/G7OzQVYM7N2sgAZt
JqTG927adeW20YMI5zyTmM/ziYhyyxBGjJ5bdOcZhh97I3tpXwuM5ylHrwceiR59sITj64pfDCcd
7gyauB5n033KplDu0/PsxAYXtoAoie2b9jxd0XvwuzArEQm7uPo86zFMpwcyTCj4viAQMacx7LT8
bEus64Ye41h6oIMhBbWQNo7ixm9acd3yOOMu0mOg6DwRYt3FdAgnM5MigJDZC0awT60hwPvMuAN1
K3t9TNG0PcwovoElhelKvAZlASnEqJricYzN7rZK0/kBUGKCJDyY9sZtBUMaBZh+h//5MQro+WFR
JG9iWcWMkbjFrhOcZ3KDxISwRIAEurwsHPRfTTYKMVy8orw2X/ygIX6nFiM4Ii6NeoEpLfqqU4yg
s1g6Z6VGtRz8lDQOIlXvXneFuTirmoIfKt2NBfoX3NuBUvlFgjbgOZKuVem41A4Hqfpgpd5sPAy2
Uzj7npf+A3ctCWWTa4A6pyp3j0OqeBM4SVI2V1nD+dxMxJZDXq0O668qt/2naRLOpmo8gxIQXEgn
X2U8aOPArvd+5ebpjYrnbFrzaC8Q6/3pvQLU8sgwwfvcgOHYVy7qPmmWzHh1RGgcfezjJXkyhZHM
iApI37FYeGU0Xtzvk6IW97SnxsWRTsbgDmRV/WdQEhBaU/RhHmo/zU2CVJQvtHYPIGhi8mF3J9ef
LQxT/9nW/TvbOnI1Abutfy2U3SSvcRK9lN9u6/76ob+3ddZvjrC+3dn978YOP6aDBkajA2llNDOX
nc3fI2X/N+a8JgW2ge2attTe4L+Nl+I3jXVkCu0IGI8+Ts5f2dhdTJQJ+dI1xqSbsTUNy2wjv/dd
UomBgSRvxalkDQfSdGCoNl0pidMmjM3SRYWJITVdpxQpjwR8eDpN9RzzLG9Zlb14yVBaYjObFGYC
OWFaNlMifOa1fq3ZCcISM3NT8n7df3Om/2Hnp/+ybyK9jHT5g+n49YBmwVe4/Mv9th/zUC081iP4
d+emIMmD7BpWq3k7Grpf5O0DoiT+cEgQn9qVD0iBKiL3wphvJLldG/gemVhQAtN5RrrOUWfcfeo4
kHEYUxrNlVBm/SkYWSNM694ZIM0x5BzCnYxiUR1CLyE+uQweZ6V0Q1KjVoexxafhx6ZtgzoY7SV5
zi0AJXsnLKsTNkhqPEiwkpEQGXXPq4bdIAx8MCugEscSNq7h0v2SL0QxLB6AL/Q5A15OG13rSrsT
CFlKWXTESoKyW42uQQYT8GVLlKhr+34X8kq7md3EelbC5iIYbcz1yibsQOsPIPCloylH+Qzy1/T/
ML4bE12gQ4R10vUMwJXPgGnBDmtZJV7LZ2sVpVOGrouOXN3VQ+GmP215qtefrAG8FN0V1KveIeTx
F51re4g1xNM71cgYaEpjWOLZSmPRniw20tbtko1AfFxvduuPtE6D4O1Uy/UXoX8SHtZUr0WV1rNh
59b0ARF4Mj7bVseZ+1o4MxNSq2je8MnTDJgVlnXoGhw6r3XFZt1n/HUsGUmwTEtjYrAz0zS+D1lQ
M/VWJTDkr/DwFGrlC848inJmEl5Dr/hxNkfEx5rEfYiJ1IIWbcEz0hjj8C24DmyRj/FIuOHKoS+8
2HIeoajLxOa0JEZOanOSXQP7acFniOFPWnSS0zEaHxf9lXi60wgqV8b3V9OpETQGSdKEZg+mQMMw
3sTRuDwYvokQTRx4urIjR/gbSq1Et23VDNMqD4iTAhrzRm9TDVa+dUIvQsZoAJtS4Ts/u53V4YwM
Jsr10pBOikX21UuUdvJmniP3vTF49JMMdX7P+hMTBG/yK5L6jr9OrNJ7KaNs+FDbJh1IYuGSjUeK
2odxgCQfpyNnHEd1Nh+tyaW2htVg8B7iats9UMIKllMOVG2sBuVxedFJ4qo7s5ukvcP3h1cDiFxj
C3CsDkAeG4ODY1iv5NP57hKbVMafczpTncS/FumfNSCtx6SAovm12auKuEZaq7T6dayba2ZLf/NY
7Rp3ZbCBo+cJ8y2hca/CCDJY3FxeWnJTZnVFKU9rGnX78YyWZhzCjcBCgxOcWLXl7umEr04SJiDz
2akl3ThQxrBLQ2vCfi6bq157hq/tUvdheVXPUYgEM0YW3G3BFsQo5wX4HMDqnu4zCsAySz1ny2IY
740eZeW6Q7NV9zOG1JAtrc3jd8HmF7xL2AhljyErlitKwBSsuMG2D8ugQ1RfKdEk6DiXkznqapng
3J5mwsMIc592G4enSnysG4+qnfOFnE0GXxwAcO5jd9A3RaccvpFptHmGfm1B6w0aeJnnxO7HKfd7
6y4NAx4UfgQ6lZU3NUax60NW8POCYxpZlE5XXhip9LMSaozqleyj7ncbW3b2QfGEEPEaF4lUd1VB
7bRPmMTAiu/RuInakQl+k8nldGTOzHfe5YqOq24B3+73YZP9Ib3Sspgvz8gQW1hKlnVX8P5ZmhXl
BpF7CEvLLyzQtK5pHmKLOTG7NU0zMJLI/JxMC0zEJPJvS9sMPsqhDwmtiydviCYUnaLq31GXZmyz
ro3pB6kpceij+GDnQbgBQ4DvsUiGEZeImOUmxgx7xZTZHa8rJ6XoCWgAYbKdQ9yxZG9fa/ZUjlxU
Uy72voW/t7YL87NBsBVLDbBJTIQdRLpx8q9EZkVfcmiDf0yUWUBdVuVdl7sQwVUzb7NcTQ+AdqPP
0h7KbcFLCnY9g2QoJ+Vn4cTFzipNwrXeUkh8Cp66D+gmWlNCQDrPQn67Seoof2elLWZ+s+12eMIJ
PA4Ta1ZFXT2UDxiv+VJcS/KcWz1XfqA3oP5MU0f8NDj5/eiZU7pXmBl2zdxMK5Ogz35IquQpat38
3Vg4bbRTdJ+gs7AqoO94OeZsdXe+TSpzaOCXkYEkq5oMdvXMS6f+WEqK6iEgtyWTEbP6ELuuPrXU
aqyAlOAPcb1+uq3dyV5h9WVKT9TjTyyX9GH12IatJY12cNusWxm1nrOJTUk16URMody0iBOnpi2q
vZ83VEdD08B1FU/WLpLiIQ2rem9Ocb9RfMaPaabI2k5oVoeS/OGwnQuvv206J3xCb3TpY16ynTQC
d23QiufvZli2t0bcNSce2POVWZbzYTREcFi6bASBp9S6s5x+TblWehWXrfs8JMPyu0kT2Qndfjmp
UgX514H26/T/oz8YPoGDr8r/V/bFfZWUXfvf//XDYs7xPBK2OsdD5wjpuovFXFXYbAvqEHxwTXi0
1CH2kT4MpDQC8DS1VaeQu/zq7XWRXvV8vxBjEiyxJjPGBZR/CcBxwoWGnlEGR6S8+hOaDg+GutOE
+7ePcxEaZMHneS4BJZbLFsw182L1NcSV27dBFB4dqAA8U03FM1v3k8lzI+KvHwznpuB00hAaXFL/
BfewEbEIPPq6xIvaL4dSKoBM596Qtw/140KWFCSwYtbiJlkrPd/5lrfTRIFXG5PpHm13FrelNrlL
2tnIPXcgnT1yxr98PCYmluAyMV2HBNf3xxMw7tCPCnlc8Ea+//oKKmMm2WtZaoYEUhyn9+1jXmQd
+e74cL7p81LRdRyXi/UZW11Husc5KrdkdfW1yZIHKm/gciJDTgianwJuO/DvJgn+6ZcvUrAnkvNs
InBY0rz40FXpNOZEz8ex7xN1NY6Gjdg6Vqe3P+aPtwJHgXpMWQ0CIjuT709tHlpjGULTPkZdrK7m
BOSg58+/GE/VJ1MyKvQllHVdF3BxFLezrYYae/d4Rl25CbwMC4fWr18mMgDlRj8uX553eZlkDSyc
OqnkkRZBeOGK/AbS6AiBCIaWuO3qaVh+sqX78fnFM13f5bgWbf7t4oNBmwznkVaQI8kh96Po/QgY
zcBSBERwsIVFDEvZbXW/39tf249PFszZMMooO7dxaV9+1IC5iLnU0jpmPa1AIVL5qQP5ullS1/9J
Kc0/fEQuDlhyrMF124PeYn4zSPWYRHCowjpOKi7oh6RMdmnhwWCU5Ymtd3CTvmp+/fN99eOYEv6V
fXHQwWQ2FjPXPeZuQ6q7gBGVm368Z6Pz0zv9HFv+/nUQoE7gC3LO8+of7jQNmTF5nsCmaQN/lYpC
jivpmfkjlFKFiAgsjXA/y+RpZF0H6WRuQZcPUwi6t3XYXFTgWSJaBgTpF1adSwntyM/cOv/Jafnx
wRvAKvQ0oA5knLAuXihlIkfq20Ku8MLmQEmY1J/SyeB9OaQOl1oasKx/+5sQPz4hoDpyV/F6DgAL
Xgavoxy9hDYyLnHfYK07gUIFjTBNHVkxwSszrkN9vacJne193nwaBgmo1E4CSpxaq8n3TdRTXcQq
Kdl3RPjiX77r8WWBqgQMaPOUvBz0mw0hxcHnri9oWLtNTZl+FhFooja3S5KjjfkzGeeHe49ohL4b
kHK4RDGOfX9DNBQss+ifl+Pg6M5SM9WO/6bkMp00T+Lt0/9PB0M3Ym7rBjxqLq9N2FWgi5tgPp7L
cWnFDa7N1meXI82aJqq3D/bDV61DH4SjhWnrN568uOuKzBB1G5rz0Q11czA+Va4sbkR2iW8fSJv3
vl+BwR+ETskbgQ/noot9fw5zAmMMsL2RFYQCZGyyh8O76rdd9i40qqU91emAEuJEDmCvMSZ8QTOu
rQjv69dg1UyPMap0To8cm6V1KxY4ux7AHtNwkbJQvWwadHXD6UhcYWGiSCNFV1YBVv23P8mP3w92
FSwrFu81DH2XS6GknEHZFG17xBrnb0awEKcCRtE+MqkTfvtQP9z8ZCa4BhzYC0h6PyAousi0ugG0
/VGZFBwTheTzN1UT0E060QNSTj/VD/Xb65sHo8NrDTYltz7UBQmz/uJbKpfCFo2SztFtJucP/DzD
EY8hLbdaEHG9FlWnWXL5rpom6ydPOuvyEnE0FROPkM2RNfRF2zK/fe84OUQnwGLpUQiUpGVDnYWb
tXucgT0pPSId/hdY1JmzgXcu2tsggj1V2nQiXeEyB13F4H5+NPsCFXHJtF7TKE9vLHo8JKvF4zpS
hdum+57ff+91s1Hym8ZEXgUA2BhmZ+SdHyT9Cu+VvrxyLDjLfu6UqI+Dmut2ZbntdC9H3e/ehtBy
qNjRHfHJudTZjzAP32DXpK/NFFnxMKI23CqsN/vJSdz7ahbGsq/wNa9QsUv6wbzGokPBTM1y3RJN
DVYxNpnrLnM8AUOgXsZNNTcLG+glOZL2ELgHckkHUS+Y7tLr0iSyQ/s2h7F6sZdUY2xzQdR53RO4
Eb+Pys8QxY2U+4Uiby2GzlEW3w/zxL9TkAS8z62QKGGkBWF85Q4Zu6KyWfivS0MVzHnxOWQhykuQ
63VNU3OvxWUu5z9Ry6lEykSk2LjPaqIAPvKN6bGeKGW7B8uWV9dZ1AzdQwvtjFbb2uPurkRRZ4/V
YvK+UH0nmh3MF4phTNiuEWUW2aNXC4rIAd0sKLypXP4gKNs7N6oRWooac77miXqkZsdHly+Snorl
icS5A4zFSp3rgbOpS9J7tLkk62hOdOuZw6ODoFx1S4wQ7heza2+hNfIbe7h/IPBG7DUEiHvjaaoS
Dt1kZJI2gQknCXt7brdMhMdBdo8iMWIcSlwu8T37VeLhYvbGeg0v0TkMA8VP2abvdJSsLmvsvRYs
OEkOqT6W5cBGAhNu4l07QyiAMpxL6ylvhh9G0yCalk/OedlPOXvYlZUEqIxRb07qWZSSJkJCBVxg
Zey71i2tvtP913UAmj2hqiVykRpiF+zJkbI4ez7BDJj8BrWtmv4MqKW995cBjudZgpN5zx9jx5N4
dlKLJrgwxo7b9i0g3K+3lasZhaa+Z0bPTv2XUiZIbyBXxLOYRAx2hrciRdodJKm1ciVXUeO77Mzi
XHJerVZr5hir+i/QYEfyzwk6/NfRDCV2L6G09UIicljbMWMEqylSrcQq5PlVnbL9mYSJAn9+/Xlu
j8gYo11519JjHrHKzGRKdxV8LfwhQcRtWtSGbrSZHU4s7hgHv0JAIdEDIXb+EGGinexqAPaP5SKa
6XM/eTZtH7kns+zRJ35EinzKxbObpvTA9CpM5j98g0nGFkCv5TzMokYFjmfWxjb330hP10oyBoCi
ECNXcK04THPgYDqd7X1gYU7334poLyX2qzwZakqCwxAy05pHuEyPuWpR6+ccUXKHgrb4SBLg/Y4F
c1+kNhRyTBtytfQDlrzzO+U/wdufBW+1dvHN63fz0r38hbS5fSn++O//uq56OrAuo7dff+rvQan/
G0EAXvywZnhVIlD836DU+c3kBQaCG3C1bYFX+d9BqW3/xvPLMhmEwq9hE8d+669BqcUvRLfhdQuC
GoNs8EsZA/tiNSdYD6Nc0H2mQ74eOJPvX6CUCo89nSTqIBnwI6alhng042ahSiKBV9ukfreStWd+
aQ0vfKYOXNFwU4ZHQyXhUUuRvHY8cV1RAL6nWGTQ3pucOBK+xme/LnBZxbUkI2V2wVqQ+rkTpdH/
kSoCvFMcUWxlwTeowcPSd4yjvjKdeNpQ2TRseEvwqIxMNe67wliu8Gu4Tz2jxNtvvrJ/UBcvVkyc
AcfBYis5DZxTFhHfn4EUUxuG3ro+YMmb7gHFBHu8XQHPqU5/Lv7ut493sRg8H49Yh81YmjE3NT3f
H88y4MNEWVajqypQulH+RaMv2KZxDt4+EhfJtyszfSQPXj3rMhzO4gd1aoEdAH7dzWEM4ZG1sLno
kaSxpyEueWJe5uyhYIaPbx/0Hz4eYilgZnYGXKZnXPQ3SkBqWuQZcekdeE/OjCZ0fKyFjSQ3/STV
/Gsr6/NHlDjB2Y74jutdakZR4I9JWaT5QZij5E2nimU3uTCD7mAqP7/9yYTes32z0tUHCzzuVt9j
tau3dt9/c1MW5XHBe+TQxFMOZyXG88xAErQnm1wYQHM83fWqJ37RZsPVkgPEZUzrtr/8mdnh+VDZ
TZQIj4fK939GLlpvLnqcdU2f8UrAENXSphaGz4FbE898+0P/eA1JvAFYmtiE/cM+VmEotjvlpoda
LMtD5at20xncwTVZ5fgwtwnMFK+kguonx/3xMpKmB8ARQ7G2JFzuKpi0jUnk1qlGgQ6YF/k2R7sf
R7pL+vTXjnX2qRBPIm/A1yuwX3x/Qp3EGMUQB8mBRWJEdJIu31VtqvkUUXT17u3zefG8/eqJEWid
FBWYztkB8+2GJS06vJx43A7LvIxiU+GqOuaJPfwVAvyXM5PL+MDZe0MIDVXufLla33+m3s1b5VZT
cghNqjRxfeG7ZLJYgkAZbPkUJ0nBooHVBq4NjPZ0ohVRfPP2Z724dvRnZS/Kg05XDbs/iC6YWLOk
kR1/w9CSCxNDgy97MaKb0J6BtUY+tl/Xnn/yPL9U6vRh9byGXSFKlGVe9jMMkYsLDkPKIfZD+4NK
3eKIUjPf1sSx9squmdaBYpzK1ThPkbcOx34eDqNbTr/DNWvUaw2C7Eh9IXFlHZ0Lk5B/LKnx8PbZ
+ae/E+WepQFTLfBwl+m+TNrhyBbTuEJ3dL/Mc++o9dDk2FHD3B1dcmFYVWElGp6HW3HMbpgIz9TJ
0tF06LPKOQVdEB4gNNi3geG23s5llpTSWxt4P2M6/njV+gjmjDqYsOCpvfxTzYAOojYfk0MRmMxe
s8ifMjyebbd9+5xc3PV8ddi1+MoYZuipyuW7MTEsTorRJhABq+UBnDFL+zKr5ClvHfn09rEuH+fn
g3kICHriwGzyUh6f/Va2zpTyOKcvbRP54bCBDNSv4QJkgJrqaI3vYj4JFv6fjKKEjFzJbv+zP+J/
2DuT5biRNOu+yv8CKHPMwDYQMyNIkSIpkRsYKYmYAXfMjqfvA1Z1/ZnKtkrrfS9VlaIYAcDxDfee
+zkv+8NbZf01bIZCK6V1lb/9bvQpQfxbPBnx0Wchrk9+aXGY9uFsy1MySCQwSOne3TTOoiwbIJdr
mZLwkGVFG2xIXAJrmYzxORwGhlcAyYZNp3JJxHDZD1lkMRS5lmkH+S9T1sNS2vHHiIH+OdDlcgX8
B2Q0VK33FYxTwcAYmP/YCg5c0EvWgzsU3lcvleLYY/q/pFAzCW6VmfFo+IhzdBLbw6ZEmH9XtaJ/
K2Mt3heDMg5vqib3da7jjyowXFrZCm3XBrFQfATg4XRYStIh3dh+u9YITeGIDaB15w2Iu/mDVbH9
NEEGVJsZ/r8RdXPsfJRj7wD57iEC7DoiLa5wKypi/jhazHbMALRzeDdd4n4kMIAt8A2UjchWRUAe
RhYmw16knnOYHIbBWwITup+BP1i7Olf+C7hW8qvgjXG/8fQnxb5oQv55YAvGfWDRoqM9H/yXBbrA
doaJffXXv9shCAbZ4trOTmVTN218XJCPYWPrK+8ZkNlKT3efX2/sTf3OYn1wL22VFucGGnx6is0E
2L0lqvRaJGE17NSS5jhyPk+rwdQ3bb9wQn2qvggX4I5sBE1uVJbmchwyyXen3YAcvVaI9NEhNOHb
QCaaQRSsqL/YBdEVAL74OQwb06vXA2RAepK9tyKcWFa0LbjvEEnWssHw7H6FBGI/BfXYWhvD4rut
bCt7L5PKouFsnDfk+AwTeWiAxMdZRVz1hMoy6gvmCmJU8x3KsBFpiWNmr6XXczThtn82tXDKnb3e
h9XUxETMo86JdBr02XaZTQoYpCnLnihD7iW/6pdrMuky3sS0XhpK+LjcV66BwW6pqHOGtINPlvMB
cMvk0xJHHTfYDlKEfEunROBJC7h7iaWbv7QxeEv0SnQMgAaMRw/43gqNcfQ1Mcr8XATlLlwwNOCJ
nu/Qfal9n+OKQnfW7BTyqEgbTXvPzjM7iaCtbzCZrYGvZcaQphNX8NrLeVDCO7I3ih+T3t81oKff
lFcXyA6xW8Wx699Vi38gF4KoOFI8DyLL7ZcAlM0GZRdkSQ2wsSCRTxjzgjnDsiITo/M+nAEoOC1K
mohv1XoOs/EuS2p9zs1wn6aQEWFbNmd8jbjSDAglJByGG1XxscoiaKO0KEqg6YS4WWvkbu86Ly3e
vCsy2LuWScGGoMB5O8JjRklukQypsicv9iokHtK6KQEEEdHhoneop0MRkshZIGMExCS8bSjJj8zC
9KFL9TuB3W9yMLpdTtDsVnsABK1ltE6GCL6rld6AE1qWkZ4D3mqDtF4rmyQOOzA3owUC2IO+XjiI
SMb4pqn95HuPe3yXOno+p2XFAeysNVJl6Vsvs+0rkBB1b2ZldzZGt9gui3cpfMVwfYNKzodLsx4i
SfcLSCTJVmSBDAQajrHa6MRmRNw4wMxjI/Evg1vyCzUlGy2Wv9by5C6Mf2aUtwNYbyu86U1T3VEo
Oel2QtNHSowon1qpkyesHdNX3bjUD00nA0SW46KvBYKuXVxhhHeKPviZV1lLhKQ3nxi7VvyjVNHX
NhEPgTtND/6k9c5ehmG3vn8AGzZyTKNMqupL12Oe8HnSyhPWTkoBq2jiqNXUIkg5eRfWXhd5ws84
iuppxZnzRvCRWoCCp/UZuP+2FWXePlwEnoBpxPrSSqu660T/7COl3ZoYEm8dtQQkdsOWgg/vFU6+
x/sJUlF2xb7OC/eLGOYOWeqQfOvzZLqxh3nbZ/F0zqdBgNsJpvDVzmeieNza6rJo5Jw81WGbnuH5
AdixiMQ5LiNRTmwb654WoTTuS936u0q332swNXtR9eMLMdXBR+/MUDG92rQercr1v83TEi4HwlAM
UDETeNJmoB6rZ3WUyxLezqgc79sSR5/dNIxRe+Uf6aDDY4h4sgeYP7S/pBUEOznl+qx6++pXjriG
cTuVkROaF/w2NSVM7QO5KcP7MlYxNhQ7tmn+89RhTNGajwZ5mJHZl+GZiwosyIVsy0sYvmptjM6P
eRHdvQ9Q6jQz1t4GjbK2ASPiGHImuKA4cQ8Ie8u9B1JvxyDeIZe3a74kfUfgRmzmpzhX1pVvMNva
1RgppruHkZgN7P71FfU8SbdVaH1JVOkecUHZlzCB90Tukfs1Rt+6rYKpIV2DeOVy6YK3gTTbiIMG
oXuHGTJCYtNmmyJ2g0PKZha544SFjoDf5LkWs307iKC5E0tM2U9OtreRnZGTpV4YjQMFjEyYsqj9
F5dQ2kc+WnIzG25AHE7slCdthPpXTzt+6e1puO8dYw42tgyxHuP75Z1OVHm7OjjcWzr2NXoVogCC
4+Zcmrrn6erldcqr8ov03P4u6GaUvWxnwygLg2M1L+2JUBZjgyE7uGGFF1/zAbSBk4zV+xqz6e0K
GapvTuKu2+K8+AjdKosj6aNFhLLDLCkv22e/k68VP3rXqgabVeguFsIjIpjfBNYtIFFGZ5wSuYa7
BiaBuYpw4i3xH8ONGZPVIBpcy+6Q7YoKUa4RSjgIklEtPnLSuJNEX7E5Nu++WY+ojXJcYSHvQIwq
7H5cuKwYFPsvphi797xFIJyrkrcGhwCiagKaHF8V7lNPcrXf/YBhHTgbwWIu/UgNAFM9m+OUB7uv
aZN640N5aX2dEVjeZpM7PBlJPL47bRa8JCSs1JuVZFaSS7IEGIRcXZU+kXB1VR8Nz0GabOVhsqu8
8Zvu4WeKolIgekf4a7laHZ5TYUZUURjDLe0jSFVMNSwVg0EuZ5vfqp+PTp2LKyu2Et3jxDsDyx8h
ueUwENzF4ZQSXZ+r+WjGK4q4hb22Zb7fcJzpJfka2LlFpigxuidU2LxGTKZD3Je4l6KkW4zHrAzF
PiwarhsvhYMtZH+WSzb8kPRGq4us3NZGxbfQBtlrjOKZbS4lzjX1pVUDP2nnI0aT+FmjrXszLGl8
WFjkL3EADcmtlzwyCYNmmTaHTyY6HIS0bvsaSyJ/sHqFEU7lJwpjUlBjD7JaoR48mzRgPMV64XiN
y5ibqnpGfSk2IjAe/JHkm9yv0cL7wR6Uhbdpa3BVwG6rzUxxsvV9AhVMhKebgB6bvTh52OGcvRel
ldaRQZ8MVI1ILu0RwTIb1n7wpl9ogEmtYuwbKcxVeyLm/aiovDMrETcys9HcVO4ajR0mEXpFg/hj
bmdk6eaNdqvDsJhQrvnBaTMEB0srlLyVLg+A/uavyrPSyEJydCUtGtq9sDdqqeqNN47WOWOwu+uY
Zp2zVpdHlle8cOYR4rNsh4NMe/Fe9EBv6fF561AInZ2BbOwuzNSeGCKYyv2cXwpzPhReQjVPwUX+
yext+2m+mzxhstyYvaPbqjQS1UjUtZIIXIkSRg0Tf5nNTuA4zKGH9GSVtkazk+z1D6aXrRzC8BWV
f7VvNXFLvWR2sGAQy6fuHkDZW+Y5+yYmvUsM4S2kNlKL1ctULXdDEZ/BnT7JNr5y5DIwAtJ647XL
R66SZzMMH3yrPkiq6ajOy7dQZNBWSJ/a+H34zpq5i5Z2paGQvPjUlBnp7431PocmhZWRcMinFmG1
bb8NLbHPB4lT2yeLKvF+VGMoN1bFVBvEFR0BaVnDt8VefsxjdvLyAXO+X7IA1aFOvglgJsumZd16
ZoEL3FJryMuZfTARLKvs+zzO3XHo04urnkQwDgAU2OGnXfbVt5P06E9hEbVqHL4bVhvsZjwJx5Ee
5jIMrXHEfb0+5lqcXTvzv3udU2O8U16w7dKpPWXKYzw65Ws7QQLvfGgAFO8EXm4H1C1RWf3oGu0e
PcUDKQ/hT4jZ2jgbsmSgQ0h2F4iDNVqTfcPCqetyCFwsCUurXX+epYr8TTN0nhhcrEEJCajhEJty
gbWKqaaT98irS1ZYHTSaTUE9dPTtwSeKfej9bNsZTU4kU8jQ1OsmWs4iJBNtsOKXICnijy7GbLDh
X2XF4OIVbylFaKS2VtDQFiXc9sO24XhhzrTuNHQzxC9kLBu7mNX1vm5IN8mzZb5VvOOeEZjrq+EQ
ugaf0tj1WnniNjdcYsP7UNN2DD7H0tTldlSba3diZvP4K1+sicA5bV7Y2C+ElLXFOS2m+CWpDIbc
CZv4B7Nz+x0LTjoRnKrivWkmz7326bi2vGFPinfqyu6bYr+7DUrDEwdp2u2J2p4fbXg1wUwNDTo2
VlAkvunTX8EpffXKytpmLeXfxknlF7eFVwqV/FRLbKELr/yTVXS8SDs7Ptupy1AAF9E1GHxmBOum
5vPfG6Vj7DQO+1Ps2exsihLAve9U3z//kxCDwYPwaPsbnyQ9BNLL0bIL+dZVPT3Y3FpMCQJ7upsW
yh6DZpNdz1J7X8OCLxM1JRJ91OPsWRkUy5JcIGQnwXYo+OPqoRA4FFKSekN+xSqdirO39PXBq9zu
W5P1fIAs5ydyjiz3HYOXL6yQiSJio01pXwh+52luT61bz18KspyQ+qfiuCDeueLe0z3eED6XUzEL
ly5tnxqJRIxcnasDpRq9/TCUSOzRJxAdly1MRRhechgM7HtjATOrITJGnYoYPxP3v1iMS9gk8o3h
H5nnRc5EMVhuwrbt2A+XYc9IBkZXuqmTpdkjkJ+cS0k21a1rTu5Nky9syBaX4VW8FOfP+87A7rZH
hWdQ/gMuhE233Kd9Bzx8nNED8GogO8HAZMtQhDbrvhzW76Qc2LKZ/JFrNd82/sjXxpAycsiWu1q1
WR/g22GKGurl6usYVH45keJEBOHec7gDekfws0PW+PckH3lfEys0dmGKEhTkE/N8H5HtXPvieyX4
Kzi125Nfr/8vXsB2a3ozNyyKcn0d+UE7QBihuyXfRnxPTdfJt2gmwkPWcd+nRDBeTKxGPJFrw28S
0fCxmA5DpZy7yUaCt10VCG+MEmsbCqM1PhEzZV5Cc4rPYxo3b7gz5y8aJgh2m5RH2LEHdpNTH59j
aTZvhd8Bz8DeiYKkG0uEG20Zmw80B3zCGpTOAFUyKaiA8XgfwjqzLvQt7bc+XL/eSpTFmUiv5Tp2
jfUwFT1E1/WBtboi/VktlXxTAat3XuXdeC57HZ96Rq7VZiDh8m3RANsFE7le8ffCNituOHzfB7cb
o9TMaD16+aMWQUhEQ0y8xNjGZ9Fzdfo+5mHHhEGisw6ZWJA92rdjv0saT19tRuBXWY3xS4tWghh5
bzFvEIqad7XtxWe3XA11PZ2Pu8VMFR6E7TL8YC1K5uF6F0y4Ai+udBkpoF4doyIAgrKZwoG7xF/E
eyJy+cYq0mjw0kue6aZ14y0JYx6kFM7H0OGbghJpPC40BB9+LPnAYb/eg63Q3HkuzgtgHKiWAsiM
R8MnmNQPfNq+wEvHX4FHnxzRYMzfuyabX2d0lmLTUZC3jFJlskspK3gzyhz4azfWt+nUD4+ZmIKf
EnHkR9bMUJbctNSbZOLN5GST2mvX1xgQ8QqdxlDFL7nnujXuS7IN8C4x4N6WiLj1P8fP/yd0+Buh
gyXYRv1hcP0XocP1jfrvrf75J0P4P//Sv3QOvruKGXwUqEgAUSWQ7f7fpC8//AfrDddG009VDArs
/8scwn/4bBbX6GWke5hfUFv8N0rR/4yRN5FM+I7PeNz+3/jBf9vx889zg1NeCDLIQ2TIv234ajHk
bZUWy9FPTHdhBebUl2RO9FMF7SRKEtf9m9X7XxYmYNNXc8HqlkD44f22KmZukIIm8vQRQ2R7L4xx
jD61zX+4CP+DdOEvSz4+0qpZgEe5mpR+Fxn3bsfc1U3no+4J+CXeUN0XTYuWALrDThhTuTG7dtoC
KTYeOiwOT//5n0dEwBbxT7sL1vzY+an/A4sv+XfZPzsHjkvt9+CrichggJYu+9LnnTxi0CHXAR0q
GRsIvTR7TnMjmbKsUwy84lHHOfaVQRAptA3t2hU8BhbLxHRKCoqp2ONp5b8tG400zC4NTKCzzHlR
unHHIdkHGkFhr4sHlGZMAudgOaaOywnre4qRjau+E+mqD+v6AHVYYkL+bZRNmAm7w+UoFDI2rDny
tqUFfqTnmb/09hCfJ2KX3jBTZyTBNqP+SNGN78nyHp/LAdJTl881CbXkiSL3gsg5NVYN8Vo0r2mm
5QtqFf7iNBMT2HHe79htxw/hyFR7O3ZSNCe+KsTfCaIQM4rZEdsHkiH4mMLvrJ2/YIvGNsDpOjfp
nauWGvNlCL+WtwFJkH7W3jflCJtk9KG45T35Fp2Xssax5+xIzTLh48xa3B6Wuqdei8/L4M8HT5nl
SfULv47dj885jdizyhfvK1cHRjDajF1tMfAdiJf5oRHeRYlvcg9NtX5K+7h5gafFlVGyFkdvCnmG
Jl5sdl+HFw/p3VGpVH9Mg9RPouWvEFfTffPIErnEM0HaKunNR8zj3be8n+rL3DThpaoCvhG4lqC+
nWqCXuwNC5iBspS7TuLuw1Vu7RipFQ/SIzB0YE0SwaZvfzgxf0wKRE1klFhLcmT4hPjcGRSsHh7n
wOj1wcuG8gQSW95qH0El9GE6hM6u2xqkDMIU2ZHN2i8MkH2GVwfDjIsHwnILhnWpukV1sdJVkvFX
IaCW1HiO91UpBIeG2WCyVeNzHDbLNVQjP8pO9UGCZ9uYM584nAx5G0PljDxDuXdGIkYmjnwWz8lD
dnpYY0Y44aT3pPX4i+24PgD2dO4ShysRj9hKnFrqbUX7SC4Q46mPiSiZN6aUbgS3JWdYO1NCsuKN
4wdPxOoHWX/LtZ5S/WRNcA2YrBZAz1SxZxbX/yQf2nzEuYjEMinpVQy+2y7hOkI55ateb9GypqfR
MOX2S6EtkBYLV8LxGn1wTO5/WDComhM/Ppdd8TIZ3cAisSXaK/ig8ab8ygyimTddXFngPt1Xwfhh
peENz4nFvbmxDLLFrTVU1HHKV/z5I7NDX7KLd7kp15JoTrlQnm/0+1g5xHCyILgL+8m9G/CrPtZZ
J18G12teDcZKGNppuVorbl7tytU3uW24X+dgXQAYOXVXUCNrTihN6iiztUGNBj/988MFpCue4LQb
D7OWdY8bKV+uU6C7b4w+iwfdsODcjAnfj0lO03ku8yryJpER/Uy+HKbuGffinCEOINmFy1QVA+m2
oNW+ozsPL7nQcC6IgVO3vWclgUU0L3AC72Uk0L7/kbWD85KZdVUkx9FeaueY9YtR72whpuGq1YRZ
Z0rswXmwCwYBypn1kxnQz2ANxVVkujMoCrV4e+5Dl5EJykC2D3PP0TTUt0PDnqDnDjs7RvGlFx1J
YNiSDHe4dSpZ7aE5ufcLTRN2JWa/rZswQ45vGZiwdvJ5iBLc/qfKKp46pFY78Ei4pB39ngVsJLFM
/yxSqzqRKfADiUJ6ShcCb2tzkJcGHtOudMeZ0So2eBN1L0CP7gb0CtZ+XFDneSnCrcncP0I2m2wT
Se6js7CAY6Y66qilQ/Ly4EzetQL9oFC4yzBWJyQCYOqMmXkYGQ/40gtoZFVZfiRyYXdlkzJzAAOu
I8CwD5p8vZ1VGeFNniby2nn5tPdSHliVV+ZNpgl8HcIgQXDDhbTMUZwEI/xj5dPVyN4O4LcbBPrY
xDqNxA8cUuHLyDIqcTO5WXgcEvMrNIOQVsrvLoR92+XO4rv/0clp8iJXhcayIUhrzcghKf5oyQwl
hjm91k3MPIZU5YjM+OGUTKHJhDWEduvGa+xO3P2wm2k4JG7CO48XeLAfMSltCJXrd3ntqQe0iubG
7ItunzA5gMlUoAkOg/k1QNKzIRNovqnnBHR8WRQvoRE3fuTNnj6wLGTO5Hu0dYgP0shH20yFaKt7
qjPGlijd/ZPkfBUQbmIypFQhrW4jea6uTtnJG/aqy66xhHXCgAnrP015qrodjZXa1A13INNk9yy9
dn5akNxHbc4OI+jq41Ru7dFoGAR7y5sshXuydLU8ylw2SWR24XFe3PBUDbH+khX2sh1jopoLEIGR
Z5UVt3uBwHoiLaVzbOfe75yC4kCbAzjHCXS/DPbKGKsdTIdlM7k2wNHQzr/7HhkvgdATlEk9boZw
NPbAIRvGctV9aRq8y2k3TllmM9R2xnGbGEn4XEJ5OJQZd7xnN+kpwKkHnzR2rhiAsPUXk/GA2CC4
NdWiz6tItGRLHqas+r22+gUY5zaNF/8SzhCMI2eaGPmWruWyfkuLq+wW8yTTio1MlnrtTUn44csA
rsvZ+O4EBtGCVnyTYq4IotzMxS9ZVVUJP7X2ZkwsYjwt0AIjCQgD70npvkzlkLEwJzT+4hD98aOy
c48VdOeMC/HTRGO4L+EoxHFKC7IdIOkxmDOIo937qTu+N7nZRH05rXWBVPf48sqtp8a62QWwAm8A
YoJsiLWfk/lkVemptcf2gg23caIWxhmk1sbNjjPsyY4wtsa901acHZe0lu+WpDdmx6iL9drQ+K0l
Up7bvIdWlULudmATLJbpQS1xA7JElBAjLdxiouh44UhO4Y+6LBk3YFp8kGxSeQaQX1z8WMh4m7hr
u5lmJOihJL5bssx4MEjB4OMSbL4fAI8F2wTzX1RR5MGz8Wb5PsthkbvU5SKZC29nPVAV/rP4UpkF
RsXU3U+Z+zlkIeLRqJMrZv0AFrS1owz1vs7A0rrNWjDWOwtE4TZPrfKETqu+lO2yHB3RoUVpJg7j
drX2VZK1yTZ1O17uYdUYD3USDs+ZZSd3SUWlUbuevE2Wz98iVN9tiI7ZhgyY9VBG2PDR59QkWehT
noRKmV84BuuftvSacWugZ+OtjcbHS1asSkW0Hkk7Uh9SAvme04yhBmEeRlAzY2/1Iak8fSMgpu/S
YZy2ScK7vKHYemHkTMa4Xsvf0Gte/H4uT6xjxGYl6zwG1aw/Ai2zA1kRDbIYUBUmohaNxCTGyIMt
oTwVoN/+Rgbnmn9tIlApBzSNNDOEr/4u+iJiDomAnvBvKM4SQIcy36kKmnyDbGArs3rahqntf6B+
G4+o3ZK9YVpvQS6/TXVi7zKX15ThTsl2kFVzHVvLeRmlrK/ZYhc3QlT2q+UU6XyViazHmzZNA0af
ZrEFOrfsMwaHh4pLeEzCzL0TZNPvINdRJ5RVeOHFzdh4xhrjpFRRrRowWK1XFgaG8TAmCKcMJhWI
nBLhbqzacUDpdtzbnoPsupsaZNCEI56YbFEr0aRQDyYF/xFAdi59i7aGZflaI831ou7rUq3XMlzL
pYJCCmgxXjRYwF8dZrA7a44h9ROldckHxtkjsqcoGdPxeRVVpkAsrfK1tdFsnfty8aEGxiBqvk0w
YTgKuh5GEV4u8qAkABzjaBMciMLetXrsyVs+UG09N7FjsqSxZXHyvaVMTtAfsy1xg/wPMYVUvBUd
docozjzgrhuXSucGM3L30y9tQk+diVqqFWlesytO+cRJHcJd5eZPN+VMCeWjXiKvnuKKNkYc6Xq4
tQOn+4Y/lnViTXpB5yK6iaqQ0eanlzxIHfmu86HYt1mfHYaRt5oAb0RGVE8hl9be8Nxn5avfUrcj
KJIvwVTa2bbVq85h/e7CggX8eVlWc4KbGg8t7raTyQN7XxCVeIiL1K8jmK7lqWfL/Taj+nlz8CBT
Z0FgAeTA9bT7oF2xWcFFK4GdbqLZ8sq6+1ajSvo2zyaBYnPfvPZrTV2DnyV8tIdW6SzlzHannIa9
uSTVqe1AuRF5tAZjZ/59ZbfDszCRkjELbd7cDiQBqmF9I026li02H568vjE7UI808kqV8pY1iY9e
wZmbtz6ug60d9FSkseP0ftS4C89Ix2rZ3Mwm/ychYOrHJ00kqBbEW1TlG5dM1mOdchYpqZiGgAkg
Kzdcj66UQKC9q8kdZNWgvpOpGlzMifYWUGl4wZPWnjPt1xcv4YtrObgOtbDcqAnq8RkUCG3VRLJ4
sHbewH7lbVXQl/sZ7Ukw1csH2x6APFmAU5IEzy/j7Mt39j60OcIlu7GG0IUvdo1Q4YfWxlqwrL/1
7KwaGgJfuTGacr0G9oTif31UZzpZXiTFtGVrLF9dNQ/7ua1yb5OLydoBHaEjXZuGDAtgvU1nR92L
uuXKNDmvgM8zUNYJFkF6bA2AlZHmWmzQT9vsoBho8elKX99gltPXeWSq8XkbMrTmAE9IXj3OA5Q5
J6HTtDut7j87bSJjSz4KBAvPpGNVgJ1PZU3yOuRqlucB/IUhhuL52ZYZicHX4Cg6CgY9K0poXWpk
gd4XaKajKU0/gNTr68LjRpgOyVrxZsIIGAUJUwMh5+JBSWcG6Mt4mPqQV+HQsDNSw8hQpO65xMkE
Y3pe+EQCdgPN88Ij2MB3e7Ri9J201AKx18ACFqwobSQDk2lXVzwxyVy5d1bhrZJxIcAjemOHJgje
CWdYob4v8F7xtfWT+pHkdLrojPRTjcdlE1tteTLWphYZFccanRQbqbVDXleTm6Dza3QiS8ZPqiya
bLVwxNkm//xn3+wjx7jOBTyAeqXUGML4JcSylim+weUrK15SqhNE737emkgZ9hKz66luzPhBmGV9
kY1VbBU4jgvrZfW9MZldsHZkljGsNcpEiDEhblS4TPV7DncDNkNThs0rEfDBthUqvEw+52wzpXyF
qYs0XNQ2F6QoQNt3lK27zqMsAhAeXtb7WbXrMdzFTYdeuWQSFGY+tUbR8tfBipG3hxHrMV2njZNi
CbRZKIxfzYBbwlmG7uegWICkZpzc+Qh/EV2u908Bk44SkyGQx8eJ16nDZ1kREAO4T4q6eKjgm+9X
OdjW89FQfb4bzJ7RG1v/9M7nyKffXzHlxD7d+YkB0zmcwuCiQr5hpQvrEd3xGIUVywMPmTcJHlz4
1MvNR+nZMMUGLmTIYO6kS1FfFjCFF9eieMDITIgb9dJL102t3LdLQ1E0mZxm6HWe9UR5IgvmIqIp
QRhWAEBizrHvTRfgCfaII6dv9KLPUczYMywKLFYNSZ1ObIkYZHScJjKivIQHyTpir5oZ2WtPkfkZ
mdvbNtOnpuSh0DCgXgH2MhicmNXZWUyJ1lOw2B7+Uouh3o6XPTfP5zE7+3wbdOzoa0k++UY3pdFs
WWsoI6Ihuv/WRj1Ks/wkfaolA3i5Rlg18mUKjrd05DkqkAJ9E94oqa1t7jWD0Ll5Yk5B0m2VnWrH
VedJlgxv1qMSyIG1awu7uFsCi1BcL3OZNiCbtBXp6ZuUVpVnsmUqWPfs2aDkmI+28odf/qoZ7fnV
UTYWPLhZSPHH1k6+d1VLyaFIkjvlNQ9ZJrP0DsHvK2gNvrVP7zqIdB6VseA76EtBFTpO6jtVSe5s
yNlC9QbrL6RuGdwMtKjgkJ1Y5j83TYz9W496Ow5ccB0Uy7WwGGV+/vHzwdRVzivGQGv3w514p+Lx
c0710kM/sQy9r9I8Q1bQ8EBnjjonvsshM7rc2Y70F1yqbrZcpbdQCU++3s9d8TE4S+OhcKBx+BzQ
rRIux6IjmNqVKEN4GoR3axkONHB84gmhfD4dh8B5Qa+Rbpd1At7TyO4GlzUXmdVDcO7jvvkbr5D5
O+4gZOTtWz55qS47T1C1vxlrGpvUwlz1RydjOBwBGnDvfI9E76Rnh6kdjrY0pPiGxDB/8ZOmAt7v
2kfW869JXNO71JDeO3vUN/Uk1fcB3NvdmFnzE0fCsv/PA3qT/clf5vMB3lKMQMCbSFj98y8b+EHh
j4bdHY1sVbp2LOq1pBcTZg7NfaAxYVpBIWqONEWAASmtGGWsYsvmLZeMVj8v9n/+pT63En9eGtiu
jzdw/aV8vJe/7UaSgTs5zJLuWFU2gjOQb/G2CwZFdLIxHtp2SOGulstO2zaziXhgyJZLrq6frp2c
MxYP+cRNZZcep0HsNj/BZfv3gZfIHacshaHRNmqjetfY/uff/H/oVICVf159fCPo0X4zVaHNKpok
MfpjYljqHIfMbZjcUz0qMpruUdOyibBhHY2cia+d5i1SQxuIt0Pv/mv38n+ryr9ZVdom0tI/XLa/
rCq/Nsii/t/2Dc3g2x/Xlf/6i/9aV4beP3Dg4VGl5YQo6a3G0X9HveHLhhRkM80BwYtl+9/7Ssf9
Bz7udd8FAsfhBPj3utKBhx2ghoKAhWPxf5tLBD3lzw8ue0o8l3D6uN8QkkHx/PODG4qu7uNYGTeY
68Z7UGbAXJ3WPVVror2/ZtsLZPYPPAPk3Tck3zOsD08ryXSbFA0RMNQjNzAoqshUfXAsMjG6GxYI
NcpcM2c2WKeAQJOHRNpHFOsj/UOLOtqpn6eh+DJZDkT3KQmQ9FrIGT1iROPOobisSGhgKidYFDil
9ZVwjRSTjAWy106qW2cau8faDimC/N7ZagqHn2RfbnRgP+VN/mF/JtbFwz0auP4hbzz3oCYXzwCt
aPXASH44NzJQN5qgG9yJqioOjMuzbc6W4qInjwBQ6tFdni89sjlmsmCeob0WzeJtE75O0ClgbjYT
UThb+J+y2vjMFIiwEETNL6Il8146iIVd5V5EGxzL0nqQwiQeoA/Na1WAC49ncmuJUNokBKXtCiwj
G6WCeN8LWUXcMEzMECVsVFJMyGdVhNakjbhY1c3SO0zbXMM/V3lOi9zE6EbYdexnK5lrhmdAbCK3
mxOQp8tXJj9qO+n0OdSm9TRVrneaHX98qc3GImRahVuh10g/SXaEIASarQtyVSQx4masicn+Wrc2
dejuv9g7k+bGjSxa/5WOt4cDYwJYvA04kyI1FDVUbRCyXEoAiXkGfv37oG53u6r8qqL37XB4lESR
ADJv3nvOd+Kh8LQ3lY6AYDE0dBomAIA1ddDlRYNM1UHSFGg2khVMILBuKiv3wOD4CHkGryKdmtKv
GnaZCRPMdJ1xR2BnToQJ1vLbMcvbB81tUfxPzHmilsksOxdhU7FzQzaPTuuSEOiNpnDRBJjPEDkn
JC9ftCmGKL7WsnGU8GsIZqnrM4Q0SCgkiTAbdAnNtfrGpcPZ0/nIjy4p9aL+zBHBeahnYmgVMcRF
rCWIUBC2JcN92Kpsl1ekYctbix5hP2wh0Ohwm+y5rNsHzq/mJB4HvWv0T1o/CU/SJ0ZNhgRNZh14
VB2H8xjzC5A3o49nJEhTWW0x+uTdykh147nwyvGeHKI5Q7yIk2RrxkZSkKktx3UMHTFcaQRC+BCw
e+0pUk6s1ubsZriURDaelcG0Psj96g/oLQuDB0/fA4w3rVyxklQ4IUg3egqdXGUXLZlMY5WVk347
94PotymGunBF1kHBZgxp9oh6MtrDs9Q28YzkczV43fQJR5NLfLhWj88K5TSThEpYXwiDIQ1YZvKW
SWx1K5gkILMvSfCODOw7/AL6GbuCs8lkpdONSed9POXlnWjq/MknexzfVYW8LLCnZGmF+ohugAWE
qN1EeIBcpaEswpiiAtmOztrQjBYSkUGEVdvPKgsSx2qJT+4jeqfwdx+63s3vKq+UO5fkocjonVs/
6eU1TMvxRElsUrZqcv78scr/b0P8xYZoLuirn22IZ2LTlz/LMv7rfviv7/sPpgTjO3uraeH0Wziq
/94PfZIZ6DtY3wh3/rPzWfpvBDYAXSU5C2mN63j/jVDnh+qaytDnFOy6hKguNuBv9z3MRV7U9pFk
NoxK76OfbSULaN9OWSjXuozqt7Hrq7fSQITwl4/l7p8V6F8xwziZv911bRRKYAAMKlM2eBvxzrev
HrvY1RUeqAMJLUgpJX0jmgLQilAGorZrOUm31aJYMY2Ww6LB4dkO+kUDgrVseiSJFYEJcHaauoUS
9EV8Y6JnpRZ4eh1zckNIDYOuVDUJZU0Sd/MpjN2p2+S47uh9YH70Xfqi/JZMIybE8+ryIRVgUAFA
rIppWNeRhfwvsS3xADHfZfbGCdEbBjhNS5/rQ5HAwC88YlHjc8PWzglO2RT5KCLLV8tHgYpOisMg
fffDBMfZCERka3m5T6dSdvUnI5w7YlyIIDOCCSOf+0cvLSm2g+9q5pPehzLeZJ0c0cyrSHM+R7o/
gRGgp9BGp6K1YKIR516Vw11luiieXekN8kLKXORtCzUZ8gGjpgC9hxsFu5HMdG9rNn2rr1HzWs6B
UEO+UtI4c1/GWpXogzFZBpI2OZHNU1RjrISBge138LASrpizG5J1PRMhSImgyuXvGVrN296dCsAz
M1FgjTuxABuy8l5ImG61TW4M44banDmymNct/7ZA0TjMJlV/cb0EGwBFjrVPQc/do8sp1kMY9i91
eo+TPN1ldbYM3zwIW/62rHvMdD0Q0lOdkYRlVyVeIBLanRZ/RYANu1hpkx/e92IaH1XpqBd9QaO4
OKdXFokEeH6U81XLx+TBo00f0BOo1vh6cHrSMzy01LCfmaOpgFZgQTxhnR8I2aYECtM9FMD0IUoT
dd+P7BsgiDEMw8xA1jIQv12QAehPV1ptfY2s3m9+d5b+WEbPez3SPzkoKbKNPlC/4HBskN/Y2Yqk
ivSx6GnMVZoR7eRY+G+C2S/h22Gd3PWkHLzK3nDQRbCDXfzJm6OgTQztSFeZ76Lc0u/rZUI1oFp4
ssz0mmglUfIc0eSKYcxbTHzSk/B4qOzBsrfM3uyDVKTViWqkSW4NX8MQW9s8KmPjAzWZUMzI9rWe
MZrOkL6MaLADVQ6n3o6c21Q16dbqZ6In4aAU+xpG2IFcBHFmJG58Hs2OKa6bM6E3B9TDiaJLaCPE
7eyiuTYEn9xag1PsiQOzcEpP44VAgXmfydK5L8vIuDBzSF6qPEo+c0XT3Th21qkr5nTf5TkDmdlO
30rZinAVEgiPlcaa78Be9DdZy1kQ0btBeV167sOUtFRImmaxrCDZOntTbd1j1BQM8xfvcjrWoRaU
Xhwfc2Z9t53XNTd9bcXP0O1oE1nToJ9L1cdYCVR17VQ3fIpjUR4t3IwbDdnZ54I9/KnuRXtqnQKV
99i5yVGf3RkPdxYRIqmDjCjnEabSrMu1nvjetq56551882oHa2Z6HhP6jNLHz6nKjJFIeKZLxECn
i3RUxSRdGLk8mH6J90ifVqFvEdtod390+QC9TeXpXpcjTlVS8dYGet9dHefu1kTWjUpPVL/TfuhO
Oi5RIqOx2oncHu6TwmGarrxpX9SddQ8teXqBSjW/EezS3/OBhLd4ZHHTuJOBf27I1jwnLcbgMUFy
YCc7TH2ioitYqMcyhnvHZedp0RAS+64q/2Dc2u5mJpwEbIa6tRnFaNOUr9s7lG65uerB+yEw6yO6
0o75PpsRkZjEj3Fy0acCqw+d0FH15yjM7sq+9S9mYcoXhK3pDj1DtWVACBmO3qB+FrHCa4oi/qLh
W76fxh5cjdFMBOsURrrz0/E2rTqytwwe1GPXSXs9M97IwJC04yGGjkg6KfMzIO2L8cXKzx2lu+9a
LDV5mp80AQvOrGzjk5gyx1zprYYHvhLTG5EkI7pvzcP52TVJsocLVP2uSLgfQdkd2UtgQFeF+SVh
KnJICVzcVQSDXY06aR6k27oXkJgEJzBaZMA1qeqxyfFWjY67yOVL7bUsOp0dzRge0hhTaMDT497k
wzD9wcQsmbDUVs4+z53hSOxXvwsbo7/0bQ3gIDWXGISqehqwuN6Ni0WSPs68s+IxumdnKz+LxU/p
tbn7PsFgTAPRNsi/ffnHoMZk6d36QdiWWw473WkaG2ftLrZNrVgcnP5i5vQMha9Tb9L+FZqYQYQi
DiXa57OGcSuyq6dwMYcWi03U+3CMOot5NLfBQjZ+Xz17MhdiYxcy+92S0uOkgfW0W0yo/WJHTRdj
aoRDFVk9vXiaxewnqd2mF8wV/m2CE4oDAP7WzmuKY1Vo7Tlswf8ltnIuQ+pyBuvz7tlDyIsSfjHL
NmgP0W8uHtpSNt4NIXHTV93q0i7wu5jt2l+Mt+nQatcockgzjwuWng+HLjI23Los2qUgehATLwPA
gkZ/bl1iPcxZlmjdQjfArpUsFmCXE9RyTyzOYKwfxCMZJIGPheu9qsVCrMfWK8EABdm1ufPJW5zG
hj5aN0Pr2yyDk3kHUxR7VZiflwtIIIJl7Oa2W/VTHi86TvPceW1ykGZhBXWUk/kgTevRXbzP4+KC
rqrC2Wkf1migyRsQrRxYVIyBqIByMnE4uUceZr8xtMBgbbTlvMa67n8yHLyBedVwdls82c6HPTvD
GXOnPkzbZj/i316c3IiHi9WgWzfeh81bLI7vSjewvojx6LemtwHDWX2NuhiLuDbhFg8X3zhRV+Wq
WbzkeTg1d+WclneKU+EeuYe5HxGarWhVa6vhw5IeMpF5phYwr6PlA1NbdFTvXqZ1n7PF0R6q8gXj
PrCexL+3TEa9vD+9pe5Y3PDmhzE+aZOIuQBuefFhnIelTnrzAlZ9i8s6q4Jmcdmb2O2dgu1tUh7z
CQkvJVtc+SG16RanSXbqPkz7g1e7ydr6MPOPLMIXi+YqiI8alzcizX5Y7P/hQgJgv8u3/UIHIGBp
2mqx4e5NRie3H+4yxpwABRaIEDEgYAYqeAMdUCiYfAptoWugDz04qTRW3NnkpXzwCoBmwC5w9YLy
tW8IctHU8CBqIomH2RoOQp+IeWH0wHMCv5mbw3f/oPCNNratzJ1CeXgmV4FiGqwOMIV24Sr0BAs/
6qpIH22TGtDGI2yvHHQyt6Vq/dOsBNWKdMIDGj1iOSX5bOiGC3awwOvDQ9z19bwmZSY5Jq1PIm7c
G3FHiekX++yDDGH9ixOh2slANUqz9ibsaYOPzPex2kTVPSli1tm26+kCuMVY+yqWq1ZWACly0uUl
hf/LLLxTYourXPAVHRwLkOsG79I+Zso1vqC+N2mrpOmqCgVCTTcD+r9AMSbNxeg1RNa6WpAZpTW/
1hE6SxfGzALVwJIl1ukC2mgqpodFy+ldtzR7pZBnjwuYAzdctkkT+chlsbao7+2V35C4a6UUN1oa
M8+Myd2E9oEyDD3TAgCBNZiu1QIFKRc8SLKAQtKMiRddzjIApJofZQRQJO+8bSRBjCDpv40W6Ij1
wR/xRlAk4B3rrYGZYzUvoJJQgSyZF3hJAcXEXXAm8wI2mWi/7XC6lQg4vJ2/4E/GBYRSLkgUZNrq
VWvcDX2m8EpEm9iXWjgdnQWmEi1YlV4CWJkX1IrWAF2JS0zWU9POK4Dj0FjsDmpK0cpLvrBafJVM
t47Om0sAucRzm3FOoBO0EiX6hZ8fDX88lgoTg4q9NH3pFX+f8xGF9pTGnRcfkqzhWKeNCKJrLPeo
t5DbfLL1nBMptVTOls2c7ecvztn62yEOp3FcFrhjPMeiH/zdEGeO81pMcxkfjBEJ/JzUjBvjNLr1
lK8efv5SP9hWHM4zcCqgH9MN+xFUXsWJILuOl0IeAxACETKTR/J7vv78dT4mJd/MgHgh27V9Gg54
HcT3MyBVTJNdK1ce4CpM28ir7YOgR4ccPW6Zoys01b0f6TEXPXstXcmJepiZZmthtByuw4jf7uNX
+l//6Ff9I1csgY///zDQh6j44+s/Ds0P/q9/fuOf/i/jNy6laUBj94VJyCd36b8GKq6xEGspg/4M
9vx3HKgJ5daAoym4BaChLs6wf9m/bH6c7eikiH70nf6LKFA08989P/jLQNfZdHRsfi+CMb7t6lTY
+evMZwvQMAYEyRQVSMLMNt5Iz882sem8DFnfn2G3x7Svy5dUOtpBH6iHibdTYFWiZSRtZ/d+n+V3
aac/IYhEcVymFUBpGx8m/RJA8QZyDZs1nthr1kP0LRcs80gORgPs9lC/Eop3FkN6JvJuRzEbrtva
4RBK7z9I+w77QR2/48iMLxlT51XllvDacyaZuuaRWueYDBz0+VT4+p0wwMj49fBajDQuHFVvmDsv
nfL4vaEVsM4sOW3cwru41riDHl6uSpm/+4r6zegfwhEFiB13W9tU526a74j9PemSr6oTLRij+HUq
IVQU1CROq45Egb4VrnippmZbpDgkcNJZz5g19nHtiWDQ6YgXsFUA43DMbq0X1aevLrj2rS6HB71W
5+UTaDNkvLZK35MyB+gm22RrpZytrAwrdidRtFGtXKU1PHj5KFZg/+WhTv23IcTyakT2HurKCWdT
cZhTIi20oeGDwZGOff9oRp25GtUI4Wt6GEr7JbLUUY7pa10lr8XsXNzIqkUg7GZj84ZIeXwv2unO
pum+nax2W/mg3jRbHWe7Y9Mknx4rMf09s+CDwiUFjAwud8CgLtrg9mhXnbZE6ZTxtPlQ05BR99oZ
5CHpE2F87aIWWV6rtPkCKru7odHvWnPYEZ14MjxEuOikT6VbaEgzoncr5cscIz4r9PwmF2cPXBz9
Gm4KdtfpaQ5b1GmtSNexb2lr1fBCfQy4KfLt+abmOFhM81NtVyEapfEKEXA9TvmwyiMoFWEBvron
6ov40DevmIl1kxDFozq+qMp9QRX3O1OgW38gKkBAFp/Mdk9IZr2vxv46c56L47LlRrX2MuMaabqX
rhgXtkFH7xKXULQZBq4nIUTW0Xe5E8a5bYOK5BmYQvpTLo033xraIBth1bQyPRpuf63q7mqP6XtG
9DeVRdGuu2y8WiGFj4o55aUmsUiz0KKVYcTx6uNzN3JxAaP5UlR5grrWuZSO7W7b5ft4n0E00vkb
LPFCd2zaC0IYEaeMl9LUyPkLNR+mVjQh8Qr7e0tw26UjiYJTZVNV+Jg2KnfqObU5/aHJhHcYe027
VdGUbipCjW5zaIacQNIeZEHV4A1JrbfWaL5MfS1uDA8uH3dNEVf2ulZRmaz9DGcNzdjhNcRsrQWy
NNMlTLfKnwive8pGTXSc+sGooHwj0DIKL3aukO6iwlJjuhkjMTFQjddlO9Ub3EAR0QdQOZMgHmtJ
wDb2c+FWl1SL7nI6z5tBs58KzZCrpnOcTd85r2M+1W85AaE8lUm0oTcZeO6UBOXsi20WZ93aJIj9
zmidFhUjt/+cmG+FUQB+rDKQcr2OlcQ0tpbLQIrfgjTPmduwCg0iudF23Nq62+1GRO/BpNwXVxMX
XIcDoKf6XRvqky3Ur7rzP6zivukuySY8+kCYP2iqf+FKU5jYkANVsbd7ho0WXREclOMldqrzHBri
FwXf9zUXlmQTZDbtZpuxiPc98BRPfJcLlK4oPfpinRtQL4ijCYTFgv6XzfRvpg7fl5a8EqnvHso8
HSct2Xzf7k6DiycrCcuCQBL16i9gimU5TowBvlkTNMWBf9K3P3/N733DH6/pmYgVPAC9/P3b15RW
7kcec098w060gV9wBZtICKBl7weNs8byftOUMMeGBfDnL219L0n6eG2fkCJGPOgavodolwq8Isz1
fI+AjdzbIvPAPSC6Zbk4oRFQmBPGt6EZ+60a+v6YcLRc136+NBbocQlcVvl86iQkidkihsWH8Zl0
pKt6w2kQLN+eMMuV4vBTFck5F/U2c/qHMZNAnKJsTePv0oFcoftR+DuHQ/ZnSR7dyvZYHn7+Tv/m
FmKQhfwZDQejpO/N2WYaYwQx7XwfmeSmFvqd7s932VxXv/hEnb/7RG0DNRWzNyJ4v2ego+L1Rv4n
96qfEudIfMhkxPYGNItFFrefIK5S51YaeKH66Y5xfkb+KXuoPcv3qmddXkqVZGFjGuZ4QpUYMsvp
rkB4Llbd7yKP5d4pEalKGYkdAvfxRTomrglpIsCOp/jU4fl9yNX4NNZs+5yI7WOLe3ADtGbJHIrf
w5i+V65SruLoFTuSed/DYn7ygLLObcPmjQwlmpx9FOUEAWRzCIFqPCl6Ryuzm++Y3hD1avKzfU/7
UjtqgodCjfXzC7bc9X89kyx3pu1iqMd+7f4Yl4disqhszcr388Bkg3JiZGUDvEam8mDtf/5a3x+0
ltdyUBlxtdAQQsr/9gmszYl4Q3oye0f1D3YTH7PiVwvmx5P03fuBoG4SWMdffTBy375GHFV0UnU9
3xd+X26beDRXhJpygDTfsMZMIEjCozLJcdfMyxD60cbN06M2hs80j3+H6gHKM2Nq5KWJtSdUhE3W
Z3Uqp+xsGPJ9FoO1cYkN3tPemRcRABgsfW5u0lhseq989Fr+s2hwXtLnn1YkAJGAa1jA9vyq3Jo1
wiLLr8xdN5Ywocz4nYhbFRAIfu5HdVSOnOCLJBSoBgG2jgGuK48gTertQ5GbdJGs+Vcpl3/zxHIt
/I9wDSjw349/oZS0oG5g5xkpB4Wec/AqbjsqeE3xnsGWBDHl1jqdvAt6HTprTa0Hs5Hdtgn3cqiY
wZA8tB3CeUASYhTQavUXOFvW2qPbFaheXMLOFStEi5fIN5O1U7MSEcldrN1ketLN4Q07fsAY+tNo
UR36FW+4xqKOhPtpohADoBCVO5o9O78cHqQjuoAkDRHYJQsfynxYzhpAHrxs/s505ief0eQvmO5/
85CwZyx/GEA+zO8lkIMEYtYOPVZPL19T4oyBO/Dr2DrgnVL+4oqQsPDjMwnC3WJZM7Cm/hBhWdnW
ZC3WpH1tNjk8hYashTA5huxUvsH1QXGugpkBJDxZlimEVy+xTM9CUQB2pG0GRe6XMHv7auMLdD2w
YyF4Tt7vjTJutN67Tf2sWUU+1f6YF9baKrFWJjPur+mUQS0LlttMWuqV8QxV6mCukpnOcgdXeSzM
FeXqpse7t225pB/Hy9kerXXs8IXQHo9Ca/mOkjCjMuzaIJ3b6DB6xDAth6AQle16aFVxzLvhGrcc
JD0lERtUHPWcebjWaIgRvCK7s/or8eF3lRYfP7DYhtut41xN6+UfNCyd0AmWG7Ls+q1h1w04anVu
RgdY1HAF3McBwlEaz1OprdKKakkPk/NY4Zx0S7661pyXKnF4xNqwumHG91YzXhu6JXwojc8x2r4F
YsiWkdovSdQ/MLQV4FedfZ9nsHiT45yhfKjJ5Q7aNj1yKN5lITtLjG0RocP8JIb2nBrOl6gZ8qMy
nAty+jU98mm1HIwYroAvqerixIDkkrb2i1nHv9qPxd883tQ6SDxIC+WO+t5nSNY8kwrbyfaoAd7y
pn9odPa9nmNW6PBYL/XXx1G7QAy4bX0qvY9nPo/a7TSArawSvq0Cc6zaPNn4ONs9hrMuHXVJqpXp
5RsyoaY9+RzgS0mjq2BLxZsqT+Ub4Gz/XNY+OnXJvkiomH+Ts5Yj07cupsYak7TTExylCLCThXJL
j7vVKFusAh6VteRgyH4YWQUXRFJmu0l3hVMcBbXZPtQeR1K/S8991z3YYEt30FjGDTw/Gs3DfIKz
dk3CjFE0aXKBU0xvhM3i1ijbB5fTAeJQcenZRDhkdldLoFqnmm/dP/fX/3XYftVhW7IR/1Ie/CBZ
vnwd/rF/zUp62vXXbzRa//zOP1ts+m8EovynVfZne838zUE1hYOWNhfly9J5y4u6jf7v/0GvbOkC
ZSLzYVKO6KX9p8Fm/iZ8smw4fFCHL2vsfyPb+qGcoYixqECXwB/Pg7X0balha2JEW4NXRuUOmpaZ
Mp0GztNfPpS/OSn98PwuL8IJEJUW7/OHjOG26LWS9FlE/4qIvdFt5nXk9u4K+cGvcih+OCDxUjYf
i8vxz9Wd75OFiyzEWCiteQ+7k10/XVBvphUGHJAznIJxu8+MmpDG2bEx3CEz+vk7/eHj9BDb0ax0
2RC5aN9HUpkpo4VBmIwh8+FqZu4zjP/1z1/ix32cl3CWI7XOdWO+8O0Vq2tt6vTQqPaOMVxHx3pq
fBABHWlSAZZR7tJ/N4z/5soRAPzDPo5nExO+LaiwIUUt+/xfTu+WrBjE+k2zR++DH0hl1HPoU+B6
O6SrpL39aIdDhYVRwk8MHKtIMmJc/bkOMlVn9bopwjhwTQmMNgL4dOgG18dEXACHWwEvkEWAMDeh
Yq2McggyPJc1YX7IWDPrdzMZdrJvWqb9Hoq4utXNp6mhLECU1WVrhSPnElWdD+eCFbPTp/FpSmB3
xEIOqG1Nt45AaPnZVTACfcb/WqCDR7kTSkAITosDTziAOXq7RvAtGU91cEQCmflQ9rC1YCKFVd13
83xgmnvuEq3fWln2brvpQxHbb2L27tuaGdtge9mx1McvEokLL5EIbO38TFAP81qVc7VTFbDSOjfW
TpMMX+vIr9gJottyEhrNwYIoXBMv/ABt9DKO1qKMACBoSuvJBXJ0TKKY4hswH2PR/qslNP86Esm5
nowkQZ5XyWsrgGV3nlrpfi/h7C19rSEkyipOw02ij9E5bzCXRmTZg+waTg46PrUZag0Eshwm6aNV
S7pxG8OVvVYuZ/QIwNfK9AiwLPUk0U95aYQGjvq6Fo927mrPkerrWzwJ/BxvHM1rYaj+lNZxt6c3
g/ewrskrJRc+OoVZhYgcpgheaQBHjDG5RbIquasKGq7JkBubfoKy28ep/mQX1DYo28eVFsVm97mL
9Yr+mA62VZtdeeVwNG/yeMkDQCuwjiqxyOtiwz/MWh3e4F6v78s5r++yurkJ/cn6zJC9vdqdpfaL
Cv9sjJbYZzn3AlyeeNu1+bjLM+tzhNtzoo3ZSSJOrHHP2c6/14VMdlAO6vMsteKuS6e12XTTGWVd
Wa18QCnbeoDQgCFCygBFF0iP0cFh7dvdCUEAptc5Enex22zDEP8ZWhjXQIoj0fKQwsW3PY+9PAI+
rdaktt6Xk3pMsLoiOkm0nZ2BPWDaCvI06gkB7+Rwr4WDsTOtWN8bepnup6y1D07ZYL0o9CXFUzrF
bUa2iMkdbQov0EKp31thNb1C6CWAhIfmppeJdmqlMHfWSGUjUs2hLM5gjqDOcNeVXvFq+CMKnhdE
b8CByUIPy4iYas0D6EsZRQtPErcXhsNpTBJ8KUU3rARKUeiZOqgLlWmBaeM2scNuXAHS8ANLpMMR
hRb5gb7lbcNE+BgWi2SVKQzewo1eIfk/+8ZMc75t9Yd4nPS92VtfXK6r5qXykyp0OzBcPmkrno+t
XSBkCVWNn1mjYY6Zdl15xuLsS84awOr7pAqhkFfzHzEQHC+IdDwhXij7A1ES3Qa8zP04dVuOjnKf
aKi9SI5ZkNL8WAno55F8UjdjeRq0dUmJS3uksF5hl4K2iUqxacZtVUrr6jilvzTeEHfmbt/cdVpp
vbJue4c4G6wdYAo0AB8a+6hbkr3tcr6EqWoR3YWw1wrDS29YkGamxD5jctP5XBcD+cN0TILBC4tV
WobmutGjG+nlu4gNIMh6nTOTXPzkaWbkF6JUDmlvPqoMqZ8ZGvlKooqwa08jakML16HSvLMM1ddw
hN8+V82GEBz7tdMhNCSd1d+WdpP5gUMCyZolQRAIk4w3vsD8LjKz3lsejolimIcX5lZWQDXEK+so
aegOCB6gYJHAvvvknT4bQ6VfQ3e270kpFugbfAOPRpY0QQEQdQfzGcAyshOeEzH+AfeZfj2VNh8z
0Q6IYp6cyKG96SOaWlV1isHDhiaVMPXepB5x893swuq1cPDQaZrJL2o8bY8knblb5b65hiXboPe5
7lXoJAcv8dxr2ozGjkzbbFOboKfcfor3pgJKZgg/Io2nKE7F2BHX0DrOrYgNtY80KWE14buIp106
RXz8fTQ+Gqxc8DZQXvIhpVcLDtGKUSiaQK1V5ie7EhsxZNlzi2wbmqqILgKc0nMDMbdQ8cCQsqzr
S2eU7VZlCXce3B5MXMCwU8FNxub5noPWAS9TAyKRYXNgfxwOfWKxZlTIvsCpG9lkgthKm+6fdcX/
ivxfFPmWoLz5S1X0Q5H//LVp//EUEy2ex98aE//5nX8W+S5IVGY5TMxwAHJM5Yf+q9D3KNkdnlcb
DYjxr3H5n4U+RwM85LrrMRq2PCyq/y70Lfe3JRAeHqmAxGL6wv9vCn0sut9XciB6yNp0aN8b0LW+
n8PIySZRO5ERkzK3O0H+cOgym2VzsiY2UiSRBeb4zjIeGkMLpkyymcRjvMZfNexVVGvJBjqgu61b
v/7ke3wNQDX/KfbadIfqdlmTO395kqiZOpG1ik5s5ByYL7v1tku6cF45mj0Iym4ndQLklWLd+5OC
hZyN+yq0j7mnOrDQk6ypwTz5aOSNH2I+r8OVL5IXfxiejCalNWRDEn2c8TDBrUmnbdxr+hqMXncv
h8IgQyCPI5pCzUA4hJb2CJ/C6sGZqhg+/myUACKI2SsL7T4Oy6QBLYIdvbaq4jwPUx6MjaU/Y3vr
gRTq05Ul2tpOdRPdmX7DMM6fl3ee8pyCrhMx9rKEsBjXoekaDVP2SUaOszUt2BRJw/92qV5OvhE/
FoThLdbE/uzZ05YkD0SwlV6sJaWwRDxot58UXKu7sDAoUGmC4GsQtW3AUup4x6mnzWu/C4l0cHt7
Y5Y95o+pStf8zgp+SWuv7IK6ytRcNwhH67kjqHZvxNGNa0/mzugiyI9z3zI9JNVr7bIfMYFHi0+T
Y7ZvWq1e+j25wCko5jYIs3ZP0lj7aDdTwvAxno2N1pv1ihEXYv26yR2uh9PdQEUAo6F/jkkWX3e8
l40K26cwJ8KANJnHSU0I3bAVfKFMmo6AX9wgm/C6MglYJHnOGk2cfCDnwMrXvVukZy/JmI/mEU0Y
P80iNwANJYhGb8SdstjKNE6On8M6RKHNnAgwksBgOpdfW4hdEw3CWaCVjuXdPCTNcfRxPiSCbBTP
GG9SmotBaghs3bkW3tPRfpH4LFYODrkDrLdQnoZWT/v7kVj06rVGTvtFH6ruPU56415kJRkEsrI+
KaCga0qm7sZpEHCv2j7jIxvKrD6TMfVlGNFz4prQNuagf7Xz7AuN1qKhCMor1nKb4D08/bcT6cvN
Gu6XR0JC1F1nDT9J0ofpRlC2LM6lrsv2Osy/ZBsS9Z6uUiTbXyKI9TpkRkLkNo1WNWOgktqgBAKA
5rgtshgaZPo9QZrM+/VIvykregyr0ZiwsZTm3eAYn+fG/6zXHZRwy9/Urp6Ve1/EVDG2G1X1jsGd
udOpHp9JarjKsPyqm4D/iE+BPVrTSdg7aU8HNkrtEtsk6cdJJEyGWKwd/AQZuFYTXVBCnugFDAdw
Rhm7v7DJGOlkM5jnxm9mufNCZuKrri4/Z7FWdg812yG/EgmDWhfewccsAnio5XnqrZ79V4zbTvd3
k21FB6Xmvro3Z9PLAAkYOEUxWSZAgNDLE9xbUk+MeuGgp7TCjbtAAomoNjZV2Q7M3zVtbZTCe+bY
NznwZE+57mp72TbRDu215GBhaltnARKSmTlsczsBGDSm6oXTNozXpBpOnIu2Nt5h+voL5NBbeIdE
kTj3UZGpTbnQEMUA/cLrFcULh51jslATi64rdz0ni1VvZPI89GCVVl0yz9dqQS46aFnPI8aAJ5ho
UZcynlNynQF2TGnIFsSFaFa2TcoTdiRYrcS1FAQagAcC+ugs+MfU0YsziRdVTJmpYSqo8LLqa+eD
G6lE77FS1dW95dfWlZ49pbLAyRM5tEtXUzlDXf5gUfoLlnJO8FLbo8th0TZAEtb9F8rDBIXBQrR0
XL/emo6AVjX3l3SW0zsiGYAovetuwfcBWAAHh9AAWKZNMb3U974KIsLC1vApu0NI0M0KXgmn9bT7
skxXtkOb9ntoaihi07Cg49mWC6jz/7F3ZktyG9my/SLIMA+vmUBONU+sKr7AyCKJeQwEAoivPwvV
UrfU99wj6/d+kclEJSsrByD2dvflMJ2nD/sT3wlwXFwzLEWHObOeMhyfJ2fjfRbm5oFqw/JYB0CJ
cz2eRB+aO4sbbMKoRwvCRg61x9Y8g48B4RwxffnKXRKqqc0rfwKmxx07PAB7tq8lockrehWKZLHr
x9TXHBpFhle9jxgj0s3tVayy2wHZcgEIcu3FnVXHkWMP5wF1A1GN0FWME/9+ZDdDZa297r2Nnppv
HNXCXMJ9VbPRx3UUxR5h5cu6kVeVHK6WphkSU1Ny6XXjgqTaq6SEr0xpF/xovXFcRx19Z3PcnDNv
/DHQj5nISn1vGlcmprXCgZXcbqwRMuYospMEqoawFN7OxMcmzqK3TkMDUyhn7wFDFTU9hrjN1vJR
bvxZlZf3OHLCC3YmvNBmfZsFn83cFX7opcg8kwIi4R88LUZcYVGGkXaW037cyLeg79adkryuj4Ok
BPqiy2kFkyvMrEts7py0vhQL3uXJdFaASy6GK5NpINRmkqdRr5/Ad0fGmxL2shKXC0KNIoPKbM60
mmGlq6y6dpNgsqz1BLjmyQsouI71rDnKiKp2b+fKgobQAYDZEYSmKMuk2ern2jGU70icD3dkAIw8
7stRvzq9XF4bejkvARG4Kzm04jisBoDuuQlwsllrNV9Ykygu/TXZS2a4iXnbBNnQcMUMK8P/tpbY
uXBGlhdKqaSz8+ygeQy1RBY2G/irjpewsFS4s8Lsx2BL4wgaybsXazgcSPFj0xknll8NIYZdNcDQ
2qHmL4fczLIvsBB65EXanse+QpmIACzj3NMubbc4vSB7SgRW7m6Ilp3bO1cjzvo8meyxpzLOXmHn
bpVw5sETW1QhBHpc7kUg6Y2u6vyyCuJgsQ7FLM+kGuVVnVfG2RgGn4NfSonkDnUvurM8Ilg42vVQ
HCqPKqMuZLkX5470Y3JD5rvwSlxOS2mWD2E+Do9lVDK9Rj4RMcBd3pFcxHIYGdBO+OPJwg3VAgfK
BC0MpGZcp9cayTJO2WJeN6RxsFTy5kMnK9yDL7yjM5HNpfJlkszuLcPnUNEaJzpnPmXUfxPPKUSW
OIsBxGL1yw3KGAz1vsHqenYL13xlI0RlWW+m+T6TTghsbHXbmY/LZO4L1LI3Lt46YWXl49C0vrtB
RTdr4JlQazlvDbu6Yq+IZ7PCMTdJwiOjJL01oZGDTfRzTGYDZEVwXzkNlF5+03uqP0Sqma4V/T1n
Pw/pPW1xiD9QvyoB5HotDV/4W5KIN+1CUnCgE6N11x9LGuZfI87cL/AQgqvUBZFIG9scXAuoIn6c
ZlYW3WATJAy0Bm9TA8hqTauM7KTnAiLQRDQXzzzjUdCgLZBU3x3IagpQYz+eCifgOlDb0U3N3P4T
QBPxiKGwvnE9LS6FMqwEW53/Ns8YFRnFmyA9GEORf6IIqWWamvGwtpPzKK3OSTyfHtoOQF8C5iw6
UhEnE2+Z5yvwlep2FRhI6d4dd+zBl33pVWBIgSh8g5i9DNgzO5c0TDfRX2j1GOVQgPcNnedsRKYB
LT73D/ZsBj+Afi3XvSj0bYif76lXFlQ/ruclNlBLPEetWb9lFtGTmKqgCDtlRuFJUJsX+LPDIeDz
SmAx81lFTIqQEREyW5v8AO0Z7JGoWlhbamNHpJjE81JJqxb5TC7NTXtQfu8dy9oghmtyFu+jWj13
Y+0cDHNMpn4oaXUlMVMCUL4tg8C+4iIxIzTnfFmCeVsYcOVzqrHY58bQ00fIUnh1rQYqxbwOu444
AicGt7zqC84odWMOHKCm+iOH2Ad5sc5VUgzS/zVPnfoBpSIP930dLTezbS90yI5ud/gcav87///N
/G8zr/+tyHf5OYqf618Vvs+H/TH8O7/hqaBPlOYHhzLJgOH7D5XPQ+VjoRnYCFJ/YTFglScVwl3M
3uScgDKQf83+4W8bksE0+RNsjJDL/pPZH2Xw32Z/lHOAl5tnECEdW+S/iUb2MLLilt54imaAYnsQ
NFNCOGSsrnJSVFeLSRDrKfPo1erMIpfnuWinh7wH2X2sQC5TWQdFm4PVVuoWpNzoUglEAGmbYqUs
dQsc9sI8bkHGXRYNrBgXQ91S90BiisEjfV5sBkbWft+oEoV8WzfPM/u5JywU+kGM0XO3FaHVLYIg
g0INwNmzuD2M6Cc3Um0IBBZ5LCZ8YopTP5lvUWVBCqUZyn5sW8rIxEgpE45EYslbhgjgkJGwCVlu
m4WeLMAn1mOqmcgaYUS/hD3Sc9R3DkI5oxsJt7mkeImcLZSF2ZoSrShjw+Zb7j5fqEqTBh+D/Dvv
PwZ2Q/BoDny0W5GKC49IghGTWyPPuirdfeCQ4d0Jj0MMPVk91l2/iZrodS71kO3bOjTfPsuy/Z4K
KLZG5NVN6IiTEjQmGZKfbgGF2LUlaT9RTNREFR0VdjlrF7YmRQGFUAkEzrEM0cAouzfepaSRhRxn
s/VxONb1GIrIPDLp1V/Wqg7AmmXSehvp24aOvhBVZWucL3dhXxu/dK6i/eIMOMryJf9hsCzFoR2G
x8/nJ7ZnxSd7ZPrjnzSaTbwZn3zRwCeYf2CMbI9S4n+GwQOsleNVIihASFrNnLALJnq8stCS+ETl
BO312rfTPD+lNRV8J1/gT2daCMAoO3qTG8pUGxifsdRptzvPo8uWfCpnVqX0WL3Bagz9g9WvFBny
UdmQkg2fhbCnpE0KEfPTMZ0L4RWJi53kqYNB+2U0nPop78f1behzcR1CuXouNaNQjovFj5nNnEvr
yeyKYET+WkLb30Es8ahU5s3Gx1b5u2pCvZs7fsmSO0dCJ61oj54ZQTLwhm2kjLiTLWWv3+keXY9g
kaMjhCrnl/IdhblnbJpuZzl6gfFll0V1iEpzym+ruuPvwv/RH/zOt3EeuQ4xQIrsRzr84BBW4pEy
4RUetqow7VRg5CczvWn8plj2RO7Co7U5XsY6d2i5CatjE9LRBiYpj2iWnYomPMI2Ek9T575BSZbX
jWe+0lG3AuueB8XdS2qD2sqqvmkyqMx7QeDrAOU3ZROAGZfxk4ghdTc2KNFwvNO67u4FbqwHYTjM
a/TJ0vPnWheZtTDH7YHG2sB3TzrwJ877rr6Q367gNpHo3qvac14Wy0ckZgO0MEYB41SLYsgUFV8M
m5bXPSwleqyneaGpYdogfWmpCdoI4zj0jriRpHfvlhA6eGtwjJ68zE7AaBM7NwPYyawN67TchUaE
RBANhYzVYgZvszaKmxTr48c6luXPdurO48pbr/sNpkIuilO01eUl7CjHh8XOY75pvI5oIeUIAAwU
5PA0RCZ0czVbeSLz2Skof2/1C4l4M9HlkN/Slj5eNEeMLwT916M9BNTzQBfoOL5z+gRcsrJ73LH3
A9mdtwBEZUv2VHGhsHayVmY8+/56pTCUP1CiKF4jfn/njO9zKc/swAIR+zoDDUuUGv2b3h04byhx
zA5ULe7MQbIyyoPO2gdtP+5HWmuffZA0GpUd7ooNWvkKwxsGXNJKmJVK2+e45fc0AETzQndG1tIA
25C64YCEh8s+d2iBt2wfjWdyqFuVng23NlILrZr4TSdIpaEe7ylCrS6fpYO4IfWD7c9clQR+7vfP
KwtO1vQXp0Ns6VQdxralqfv8/Bb1PhetRXONoiEijH3D5LI62x0sB8A6+I07vz1CIRvPrHNsl6+D
sh8tD2m6I22+xKSweSbktKiDMRXVfzl9z+0td/v1VozkFOlR1L93K8Jn9f7hcPzvcelvj0v+5nn+
p4nk/5FLbjcH0/+CcbQRWnjg7wcmMI4egEYAibzNxKotjDy/H5gsE4yjS2kyDnw4p3+xRUW/EQ3b
5BDfBK6IavLPE9NGeHQsQoI8LNwK6az/5MTkBn81Em0Wni0xjEcE3FaISR9d5s++F0S+XvhLYF9r
03Nh4TFlrhO+EBuG8SpuKDWKkr7BUrubQ9hDOwz++t0gLoRrorBOYu6N65TNAEMVVcgZy2o0ci1u
uoxcwejISzioIAaOxdjJOvqJ7QPGmjZDmC9CCtfcxn/CjL28UI80kSfs8ANY/UCbjiiHvS+od+Dv
sw72MBQgJ+bUOZYDoDueN30zXoY5ML/xnWa8cCHmyzGkD4r9x4IPF8sZTVFNb50Gwd2OkGe1D2r/
YrkoxZKNVJ4NPyT2oliWXB+aeaQoxmnXGyg5GUMwQaLZ/MgNLiBDLajoLUvyZ6bWR2+ji7SZfTRa
r30FRFwmot9uW2xtYOTc0anuJkZWAQSyJ4fCuYapxmM4dRqfn99sVfcMofHUhtFpFbJ4DCgbxv5I
H0lf2ZyFuhWEet8z/E/l3bhGJr6YSicNgywXKNJ3rtk7SW56Tsx6wANnJRdAX7W4VEVwk1sISpbT
PEZ0rqEOBceokafe3XwaoE52K1YcbsKZGdupeTSKEn03X7+ABOKyOW2/BDSDeJJwb+tVZvuR5Qiy
tPzeCExIy4ILCO7TVc/1c+/YS9LpAGID93dPD21M4NzYFehzu8HzT1EaXSZMG/uwsjH26NT4sjrU
Zzum9BLR9dDX5bIcAHJHuEGa9Uw3e/kccMo4Cyoc6CsHkoOyjdokjDUWi+mCniKt4YXZcZE+nBzH
d5PIKr/2S+9e0TNyXtu0oUrBGWIpRrVz6uzIIidAXKbGqQZZWJXDcyf8L+Gir0tbBbtspq7baAsz
sUydH4O++aa98isYZfdYsr3dK/w7CVYA4zLY0U8XaksMT9KL+UxswjtrcD4S4Zg9RF2JhSLjBmRv
bV1Vxp4ttJDwRM2idvLOg11aX1dXWywfqKIyqu96ZUHL5NsnZVGuJ6/Fzax1i6mFNca+aCnLDrLe
PeXEPxMX/tPerPlv7ADfDDFhEAuWNPbRQ9gXrcMRo4WbdKSNDz7n/UPqlC948LOb1sybgxN+zyJh
XpYsGPZe7xvPNdO62HNydeOgLorHZqbypxUcYEoShse+iMZns6XohPR09ajZBcdC6BvOtPUhLCuV
cNL1KWfjfggxNkjaBWTGZBvmfUGpOTveqkkgkeV7aM52nE8OBpSg9M+WjeCJY4V9tZ2BcZrtK2GY
uMXtvH9hk8+rGKZ08LolrVFZpGIPZtsOXijVjF5pvqypC7vMsNicz0DwJzQ3TMba2o26ap8qw1nB
kUjzYk1CeSzqfLIK1H/kCVoApXtTQ84BfZPDC8wSnqq8DjDa8T8aOJ8LEE2Vf0vm9nuBwWFftmF9
ngfgljKc6benYuym18I7BXlN6tExfy0pK6RFddROzcDzSn96MuExgLrxL6EOAASO3qOflkOiTAcq
fcSCSKvap3dumTCQRR9yqh+LdblPLUmIu916yAuL/j3jZ+Pq9UCtz9U4BdeF4v8XQXtUPmvo1m3b
A8x8GkkAmsVriuUkDxz6/tzi29BlCjFWPwmsTadgZodWk1nCbsMqm5DRmtjMErR4YEMzM3+8We3g
IBv7W0TDCn0WHDzmRnhPqZ1ne0LfiaSzjhh9eVzc4ecsarUL9JreemOJAai2rAuV59WhrG300bUX
1HBVfYybJDzlSIFA9r/6vrguM7c8C2/5EioRoJ+weMX77p8lDRjPUTS/1jBy4r4Pfvq5Ag+fYgtU
Wf1sW/IqcKfxtg/tS9HhPPQ6pNQaZzg4mfs6T6GAOWyQ4LH8Gkdp4jkkZ+dp2R1dV9ITw/osGdBf
rlfa347uMoZYOdPoVLOcFg5byTWMnomqnzrKMK60j3mFUp/hMIUsvZaQn9huIhbTy72o/OvS4ia0
GCnipML/AxurPrA2ZQffeE89LqXYZ/V4tQ7inI0Dp+LZIWw7SXuHPciMEX/997pa3lQq5SlYgx+d
tNGWsjrHhDURO2gX40D3h7cPmjm6Qze6JwZPHRogAZ64uumBw+4njxmmSR/p8yZpi9dvGQomfqyS
Zys3XmXUl3Dylh9O0ePFqqWkSkyPXGsKYvlp6p+4/haXfCYTkRlc5VRITYEcQ4rTGe6ORLG8QxYo
52DXPQqr21vHLChf1Vx4mBHD53USV6Iaxl1vZL8cow8udVuzVA3oQHN73zp4gJwSy23MS4jsxBKf
O7nmqnoY/ZGASbhqp/1e+0CKX9yCKmo4rqExRCCJAWsCCFrA1HXqy0RXasBXEStkWe8GPn1NeEfw
PYLgE+R2tX3JsOV6wjkNdgdZZx/0jOEvjlQUVbPtxt4Ac9cTHVdvglz6k+LbbkRf6iwDH7rvP1i/
ozNv5N/yHxzg9ncsMOMGdol/pJX+e7z+u+O1a29I8f//8foOHtZf9pD/eMDvx+rQ/M3D3GNyOg68
TwbHP4/VoftbaGH9IToA6WOzIf0rbWD9FgUw0DlABxBroi2oytF0CyI44W8O2WZ8Qw5kR/xD/xEk
1vp3D1JA+ox1JylwHBekzRkI/nyqTpWRgUX1vPO8sKKP7VJXMDDpDvG2AnRn9Zh7WfpB5gSYaikq
PUImzXduzMuL14b9u+uX4tV06G/KFgbsP72S/4vbfQs7/Dl3ybOzmS7o+sPA5ZO9/Ouzi9hxpHj8
3HM5u3Q65e5yP5h5e91+AlmHol6J79EMK/qOReX//bOpdvi3nw61iQ2tu01FhCQ+/WN/eW3oqet9
WQznNEvfmoEmD6lkEd1UEaNwjBwRXONkQxJyNnWIaqXixaLz5+uiW/0j+JSRkPCdS1ZnIql8WR+n
T8FpHDr/IfiUoYBKeud006as3ukPnJXdnR6JIJZLw3XanUVzl+MQ6knpcpkww2FA0GWFHUONAJcd
SsQMmOs+Z+rSt98xpGKGFWW+0yLsrqh91MkIy/yRBUeLc2kT2oxpE92yIYryPdzvco+yZ74a2FgT
Oi6e5aI3fr0euAcHft/eoiTD/843aW/cVL7VaFJI3trZAY9HBNSBmglokTzf9zkc1maTC9tP5dDY
RERPlRz6NmExVCm74MJkuYIOvGmPvAH+ifXRelA5YIclYl9ouLba2pXs4TGSRvlgiqKwYow+5nvd
mVgs2sAc4zBfokRRu1YcZofi2h0cNv8RxS5jk/WpmWo3n54t2eVJOwVKnjfcbMaWAhL7UkiOeZaj
CGgXZM4PjVXRiNFCRuc44fm9xbY60w6loKPJwSQryBFWOf4LdGrk3r403BPnQBucIdi5nfK8t4Ao
Pj2JfntfteNyENlgg473cm4tn5IyJSZwXMpyxLDHqmylY+eIXwYVOrdJ6JvFAXzGHPNNjc40azeP
2sZoQ9cTWrbeVO0QW9S3PJj6k94076juUb+LseNEaU+Z3gUlKuWeW/7CQX7TzllAW1epEYLtC630
i1Pa8hSqnJsQFbL5T1eZ8531qcQXbdD8RKeoup2tCYgTjmhpX4TyW+zWTzEfmwrCPt+9pzwzSueW
skjpAWJPG189IelT/rcbgrajNhxve7Yvl5TkRthP1Y+2zGn43tHueLRNtLOqmqnHgdfSsFnq2342
b8QQjcU34gY1xqeWJqk7IYhUa6mdc2065fzmY3WIrlePajdtOAAT00guI9+KwZg+2vSz4i2aBgw0
7FaLZJJjaySfbejzarUrHemYFBI5G7p4og1gXU8sXMFRG2mLc7prxyaLqUvJaMrBJseGdBuYd6yd
adbKVEWL2AAzi9hHez3mqujx5DvdN9EFztkCUOcBMttKyStRPSKJbhdDgMO7CuLYHV0MAJBkRwmp
YUf8tHH73dYcuWVMNe1gAzIPZ2FsSK9T4Zfubixmnj2Dj6aUCSmi6FT/Drete1czpkfqCed+jnPF
Fzlhy7oYO2ku8rtZcpK8KUlWQxJOFZjr3u67b6Og9DruDWqrPy/lbAF4nXBn2gl5202BMKb5dils
/aUWjgH9sVKOrgRWITutdcydwFq/eVKOZn8JZ7rL+kuVQZDhcwSCmubxztJqfmuxZBUCDchrv8l1
avjoQBm+6kbt3w7C4hnjRuwMTDVTQVu5MfbHIbTru7XNZ8bSrrCBdFjl8oBTxb5zu44vVsEx/W70
6qHZtxllA3G40lmE8RoZAsd93lxT6xoA/eUZ8Nml/vbcEvybb91hXModB8JUxq0Yg69AQxWaCVHO
aI/DcnM9hT4NQzKnkJZtTKDeO8vobgHG4ClHZuh2aWjCUrZhqVVKdN+FNb2gUPnnOYpKb9v0qwfp
104dG0Ay5mNIhzVpiJCINII6mx/XK9ODxc7+JndmjAuGsVJxz3meBLJcfI6C0vvApwqNZnasnHa0
KqGb3dB78r3LtVuX3VWazzn2Jz2KHWdLmueGsPfI94zWlWPU0zmC5RDQKZCyFOY+o/mVo63Ld6Cz
1xqawN77eCJD1lW2zT592vq6MG2sXP1mvxyJbGFS8Da7wrIZF8RmYfi8j/734Pj3B8eIE8X/cXCs
6m+4D//iYLexlfOgP3ay7m/uJoZz+LE2tE3E6eyfO1mHzauPjxmxzwb8xh/97mDHps6fwN/g4PIn
DpzjkHn1PG6o/JDtcf/RwdHztpzhn85mlomoDtkn4vxqW6AOt7Pbn3KII8sX8GLWcHEnY4kdt2ax
MU/k8abwweMc0J29KDNAHolce0k1+tJ4ySlO+cEUbONsX7gA6BYzYVSkRwPs2/gs8U9fhbTHlvcT
lMyvCCPBu6f99pIzsF5NqrTjyKhocDeLorkQgiKVUUUzC66SpuR+MLr3Nu9prl1p/Ts2K/Of2poX
dW73ByrWx+idGksnPIUmrthxGlbsNWqRgHNsLyCmhz2bb+DkJg7QjnYfZRCzv82Tkb9RwCMaoNpd
lR16webwevLMfKJBF6uIuylzBS7MRtGqq27BJIORORCP0f0tMgu/br5wFUKnWUs3PREhc8YlabrB
JLjZeq4XMifaaYRnu5JBk96GNhUIiiUoryduq7WRatinBPLZAc8zhkkrByD1oei+hqVa5XASwLeS
KSTn2TKxAtuTozZW9Gec3Ls2pIad8ZQtQ73LQw31OoYI7Oo9JlSoVXskMTsPKmR9cOzlD52uq/Cq
/QSz2EOtJl1JZtSds6NdLel4i2C+gf1I9ZllmO4A3lJUQGxzV4q8PecG7WMZvBeWWxygd44woUrQ
oPJg1co7+FG/fgt6nMGqlvUeS3qOUixIdoZNdT3ihzh2QALPXTfJY9XOULuHtiNUP9fbRmDZU4VA
arFpYd75eXaHZt/u57xeYp9K4NidPI6mftadhKYqYGxU80pd3ESTXVqHO23M/V1d+i9V12QPxGnF
vcIk+8AmeX7PEWwhthPxHPt8eeDz0B3WuSu4My7pPTS19RUumWHvlZQcdQI7jZVVBPDUqvRL3i/O
CeKYcQf6ZVt9jfQOzMHoXKd+Wh+N0ig0u0l27l/6IQT4m9b+y+Bb7ZNYcVLumjTPlj3ahbPA2RiD
ZQ+OTp9bdqKENCbRYCRtp7PigH5UdZV9cbBMXEV6K+mzcLk9u5GFCoG3LC3ZbY/1L0u5mAfp+PGW
Xda1bVLZnd6t5Jkp0dDBeVTec0nAUJTSpc/dWYJri+aKjPukrqm5GOV8J7PMvrKWBVyYywF4Klfe
a1mL8YETe/tlFEt7nNOg/67s/NUaKFKe6jC88E43Cdq9u19x/t7otV4eUl/kl5Zl1nOG+P4mHd00
m4Bpf5TdaF4ZuuVWPgxOcFH1Eh3csv9JKjk9WR4SaL5UKKxpUIKcDOUbqP/6deWA9QoUr6AOagir
18Foo1hxNz6BCxmPJqiwJArUdKCI/IqyRjawIQvTEj7cXRu13kUtgogftJyyJzIXGXcWbgA6FTUT
FGNhcd+m5ULIsues2RHA5FMM3yT3wgUD+GSI2DWGNemU7PcqRb/ndZl2AWaxfWaYKClC4d+J2phB
2v7iBoZzR7DjpdDjU9kbwY/F6zDiERE2KSBSmJj2dq/RFMbSvWrMNb02J05ZTNhpHBTZOXJFcEO9
98BXQ4onTbkC4Buz+/AlfUm90t09O0L9fVBwnHeWUWOTbFR/lbHHfMlyEH3+gHKLBjOs5BCj7AYd
UL5v9X4gNDJYxI251xXiDud3lO2iz76xbCx+1oqjspiHa2IHarMaLjGuc+fN5mSP4Tuww92i1HpN
A+yGpvSZ3yYW63zj3Ny8tQaWgyOnK9pSwas/VCUpjX0/WbAU5WIBMCm21uC0MFkpNqpcTnY+LY+d
cgW27Ew5T/OUht8r1Rjg9AtJeWdYA2LESLo+ukYaXndz633DTdVdRT42Bs45Ftc5aVI+mlltSk1t
mOPAVaDMg60QdLWwWAe0j687LKgqthyPzJ8oCAA3nHAhM1GNbFh2d0sfEO4QOi32k7l8gHlpH2kD
Wc+ZkYo9fyl2q5JYIF030XGCL3htTJvlhT6OD7cbvV+d4f4o+sG+tkiiTnASGdrriN0ugFC+5EZ1
o9BTbiIayK5zs+MoWOqP3ITKMJgc4dxleenM8YkmLXQpLOTQ1ZkgCkSQQ8Fq6WgWOnoYrLHDpGnn
DuKNEpD28tu6mrMDq+SUpflovVLHgz6UeeaB7/tHiWbzONhC7XMOis9ZgBHCysf+oko0kHFMvfrG
60h5e6Kdb7rWzE6GWlY6cBp/OrqW1T3wyW3i1ozUfUExz49hQRLBf2bVd9i+wy+ZT36MZ0g8W/Ut
BnBURVb6XnPfpIYHl3IFx9eC9DHZJMUY0otrg8oPSnba7jjJRcauXKZ3Gwh6XIeQE+eg+joJ63s5
9BVGB1tfz6rJJFgsld+7IcCDlrb4eGnIUa3OIn5ZAAYTSS7nqTR9UI6uGpMuY/PhhpTCOwAsn9i8
iluWP9NRRUhwqyjGO6LYjkU1SjQSlbaRQ40xN85KXtE6lO+9Vn0fyWt9HfDJHDD8VD8agIQJ4H3e
1zD8mof1zxEe/9lhLtmbeJfjwePf4HdHu9VDZgSDQeahrN14LiyK0abCuta9UX5EJXXTEy1nRyxd
BiactH4op5rSB/qNDv1UDmfJgSSR0BxOjtuJQ7Bw8jJQco50C85XRQNUln4FpMPJIlNjrjiIlp4I
mAOu92PyVLHnuT+TqLf2cs39k5qdYV94N9pV/al1GyzmfWQfOsv7GMz+QcqQowOyHtMi5XOjSQzR
Md5A4q27PGd/X1SaE0aNW7cyu1sASA+BKY6RGI4anRdxgTZxdgaPIXHcC0VQ2aEd0VGx7tg7v2ht
erbzC7272SF1ofk2hkH5HI0qtS+jk7uW2OGd5gFjz/2KRwZGqYlXvjPavV+vOBylFVdFVWPhpyFl
0n0bu4Rydl4uiRdTd8hFOHDujGmhej4ygufJtYuTLklwR571E6Q81rEVPAYQT4J6Bf5i0us59wNH
PigcEh9Fsw4JMDuc1cI4+cvcPvigrrgZU9Mze5KNXNTL89KMEYCRDMmk0OGlmdaHuvC+umnw8t9Z
qp2Kaf27WYpJ5v+cpe5/tq1YaST5t0QwgaftgX+Ygl1IPTZLdw7fm/E2ZKb5IxG87em59GPy/dy3
b6vmPxLB9m/8Jz9kh//7GPavZXz0G8gfpikrtJwIoKr7n3hcQA78daZyw2CzK0NNtF2EASBAf52p
wEwK3fQmynqwIckw9rP59GoF2SpdIPlCurOcLX81NoSz/CHa2WIcz1zR2GHqgUjnPq9NGL2DmGov
znEfGAQrMgn386PnLnqnNk8bg5EZg61eiCk2YEV2jSGog7JWGnT8GvOD4RA5TlBMAeVxj98at8tc
H7c7Ige+daRTEYcdGoXJt0Prl9Q2MOC5dZAn46ctj7l3eMqqzaxnfhr3rE8P36edr/q09nWfNj8u
NzC2Ja4AmbenItDFT6zB2YfaHIILj3nz1q6UTH04CCk2wEyIDxljYeBEFCzKzW/Ybc7DKGRAnDc3
YtHl0828ORStzauYmlxadt3mYGT9jOQbZOXMfQ2H47J5HY3N9VgzhXJW6lMMb5srMhx5mYFNYJXE
ZGduHVJUc2xOSnvzVNoRrzxZFutCmUlzP23eS+InzQMNad19uTkzKVjGpMm5rr0wP5M93jyclcrp
b0LyIJ4VNjdEHTIzWQOCibsRKk25b7GDstyfriUGUeFl05MFhgFHMw2tMAaMMut30L+rYztK5wsJ
SPsALSI8Nri1MaBSYHMDrgUOjWMyAHb0/nneLB4DvwvLxPdT7wIx3fwlgCsmbmM9BvN9Q3Q6FrRA
H93MvHeJqnWYM2znliOSfN+mgZexcZa7WZQexfaAdEQ47b2mMthfURThtEt9iWqIIKi37YPHifUG
lMNrwegRwwepYqyRK9UzWfq0Sm9IfANunDIpwuisaV9VZflIoMi8o8cjiNPFVWcWfZjc2W02LqJ6
Lgllp7pjnxjNXXoq6cLY8uzVL/LnH1YaGZDj3bTDkF1bj3zI2WIty3AW2mp2uo6cxAIBFVfAD7Ge
eA8dn7Y9DpEr8Cz5rgkHnwizeNMNlXiajp1Dju6281aSrErkHhkl2D2WtArYSrnx5gZULfTUmzx6
dU8WlurjSxCKIS6NfE1Ga5n3tTvmt8488LnhYwty0ye+27PwBUKfU8FruoznKEvs8djzPa5q2irs
CxqTjr7brJn1Eqb1UhwQT9QmR1jahXJdqjzLw0flLzV8wtWIQvlk25WnnkhKYYmjwbTKrS+Wy2ch
Mb2yuPJHM3igBTLNXxdXE1uTRONpJ4k6lr61Dys9tObiFuqWjcjX4/asS4v5bcSaAADJ6mAZQoZp
y7PqsLrsajYD/Dalqd32OHYEUJ/monAVqYFPMYA+b5SByjHn8r2qplG3JAE/c4L5lhlcez/S8SyQ
h2I+Zln23lgQJskqW5S/UMfU8PH8DCAuOHMzypI/o4mhWikoxPcQhgnIwKnKYC2H7rvsWjV9BFVE
aeE7r1EEquB/2DuP7ciRNOk+EeoADuXYRiAktU5yg8Mkk9CAQzvw9P9FVlf/WdUzNdOz7m1XJ1UA
Luwzu1YMfX1Go7e571ZR3lPKW3lRfsrIHiNF0XHbR49VPgAFNxvmq1vRt1zhBYDz3yeX/1E9/4ed
eu0G/9tx+cPPUvHtO1PHtPqT9vmPf/rHXi1/c/lSNGN4pvW7kPnHVm3/ZmNV/VXi/EP5dH/DhLoy
+CDoOSh2/9+NalOQQRDe9Tli/6SB/Fs7NaGfv+zUjOdN13R8vqZnW783Zfyifg6kPqo2S+ujRoyb
dgG8M3oCKpJ3SQWTl0oqZ2Bkkcm7ILWJYQtYJte8u3U4FokkvWIPFijJ1H5BE5lvSRtUD8R4o7fA
sTTtWTYHcn9a3KNqbS58a8n5RboC1In01Ho7aVrJQ4RXMD4JOi1tXSDsr9laIboXjmufh6Upml0T
pMwE2nmeMP1waaQ5EKn0qyu522/8YHb2udE5Nwljl9ucbp41Gj0aO7Mx7HMbzQwBUZkr4Ap2IhI8
Ah3WoHr2rgRoLwVwNLJPQ2nb7IPSPsE1NaudLprx1Sz5oYhyRP0Pvgutja1TMc+Ohoq6DalIMfKF
i3nHgM0+MSr0qHZlcgcrgM38mJq4gXf2YpZfKR/40Y1cfcvaPcU7a0mjz8VzYaTm1tS9qMVY0+P8
ZC8OcstLNZn5fZCbmNN0mtxMQ1Q9KkbhNz2JpPlCNzp2uVrSP7GhAVquW39hRVvTalj+lkTJO53z
czWe4g+ZWRHN46ZNYHbjZNqnvnRRb1Ys5W1U4K4nat+aVhhhXa5C8oj13qe9DhuXf6IxXd3kVhPc
urAqUZVpzD12/P32I4NAyBcpd6QkmS6TgQuXTkZ6C6mqqx8sq5F3BqRvOOLwCvB5uRAS8VlCgbUe
I3wOpxQF7kxFlXPCPlDf5ETFjIeFnYPsfGadkQCmbVPkg0NWW7jdcTHKnt/Zsvd2lTbfp6VsXlsG
Qi+cNB17Gyy4X9cZUPdpGaXc4SYnPcOyG9xpxTJMv1DwAEU2vtMkZmLQrOiaWxcOGIfSrsN7Zbgi
7DEIvMsFR2beWcGlUrYf74fZhKWmsyo9Rn7TLyeCSeDO02gwLkVkkISdmHTvbPL3FVVdHN/6U+Ky
p23iSQ33jMJdZBGYaLdKGkTILbobnirOqVcJcgOoBrtwkB0kwfIFcctqF5uO1Zlmzo2RZZOaNwZ/
iPY4u2ktXxvmj7gfApR0cGF2xOezmhpA8wzNtMP5TlVuay1MySO6Jvpz7+HKPBVYLtIXsDxBf2a8
4qKv8/h886PYeECLo8Qij678suT+PfbdS9KU1zR5xpcFzN/gI4NnOIqNsMvaMc4U9PpV6IvCfHJt
Jv7pMpP8WPplF7Vzvjep5N30tlmcmiWenlOkpNAIkvoKQ0eDcbu/zwYLrZzib6aHmbAkpoRkeuZk
F2OO8xLjsYrtiJs6BjAOx3apsIwA2AEGA/Ah10wretHFn27Fz3CcwQkNQOzEEM691heGNLMTzZRu
OAfVfb3Iyx7lEe+N1aFo1fo8pdmw8yl+3zl9grmvphLHcAxa2llpsELS0rYctMR1OaeCxmPV+9dI
2w/90sFAjKfVkeA+W+0aXhuGAdr0UN9M0ry3bJvDcgusHscImSwHi/JYoNtJ5aENVHQ8Zm51YVaq
+5HN/rW5iOgVJteE8a4pHioP+Ek2gnSB84XfoujGW2uI7H1Dxx4sQszBjrdcp40EHuZw+k4Sam5n
C82deFZH7TGBSviItaLrcXmtI4RYaDA3i2qv+imPmKMn9InYdXtoItrbMrIxV6hk043XMVFIGQ4z
cG0OVWrJXRrN0Z5IBqf5yO2I3AMfXWq8wCBaDDrjUutiLkCZDH78ts68Q+qZ023uz1UoAhgWBRWT
LyAMp6NZxv0TjQw9D8ZkHOJWfw2tVxzmJJt3fTtZj6Mlojc7d0Fs4Oql+CtzSsggMGpPg8c4GRu/
415UTUoAPmCwslFMcg5qyJ2zhMS01Ybh3w0qCfBOsjVRyZYiPjlIN6O3+KTGG3qQCfSk2U42aY84
00TPQePyyrplhCl+SMBdyuZ7BU0J3Vyn+TflFyVT77HdRKmQ+7Lrg0O9jOpVTZH5gqxm7PpxQBKc
quWauVSN63Rqj6Vdyjub/3BFysO4wf/47McNerQVNChtHSYCjmqW3iAL5tbZ1Vl8GeSlDGixcJtt
0aeDv80FXOdN4zFnodp23ri9U1NfaoHYQCzmspuAYDFUlR58vCGY5/38jOxYhC113VhPB+O5V2bH
uKirmjAd0M5Nu13N0PUddTzmtZ3lVSj7tWKt4DFwyFtq0QHzoVZJYBPfjJSRnlqmFD9sRlg/Buqt
Qy+xy4W4QoS7u3W8+VyBoLC32dy4oeem1lOdDOM9NBb5qeUQ7xRJt8smEm9GAOooreJvaBYg/ebK
pOvUfaoc17jinSJEZsO1Gclf8io10VPcOgcqUN4ib/iQonEPS+30G2A0OPnS+ds8zkHYF/iofb99
b0q4iaNtnoiZ5lxchPoRR/4IvcioQxI92XEUIH+2AtM/FUKRdVuArdjl3ZTfVZZ3XcV4YQjrDruy
F6ifIkbZ3E5JO8FBArkCwqSPSOR0n0OWPFIUxFGK8wUmXUJ29lgcfQsYK/1faN00L/bwa5v1MNPI
bQ93faPZ5XZJFaXvIs8fDeEx7QNl+JYIPz3WqfR/tFZ7P4zWV4Tbnqpe8J+G/1oVaBuN26cHnZv+
OZij5VKZA+NLGypoDK2bm8J5qiBPMclTuxECaijj0T5mei5P9qhORAhXW7z1lILyuix45hFBcQdb
LTFSkfX43Mzs0I6FOte9fnCWpNtbS1IxoFyRrtny2RMt3/b2UD9QrDNuUyROAi0lsKJirkYGKIQQ
56or93oAQdoa8iOKxTeLO/Kr2bj2DQ5QiBnSRdnvea7cj1KU1ildBqqwklRdqIrWrKERP/xyIs1q
fXYybxImw4UCrNNNR6lQSjpHOTALyFGO0ksOnFj8e8uYIRkVU7Y3OT3eiMqPbtuoPrd86HXRHlLm
NcncURXqY6HO6NgK50TjvLcy69pW2ROZbO8+0slwwJQM9MQXVX0/JCsqCySKPwJuYPRK6kczQWk6
j+jh8txn6WE9bDZWdYN3JwYTF8Bhr7/cNMYCTZV3Ypg30dTdrBXzWM4JQWK4z1T51hZwbpZOP07d
cKusngFadcVpjWzFigEq+khv53mgyH4k/wNtmMGdLBKMdHbqAt31HfcSM6K89Mqm2gIV24DqAIdL
EcVyC38o/08MkQDu/yzR2lzfMBf/93aXxx/6vfvVKP2Pf/GH18X+jYC2sANaOX3/d/bCP70uHkxG
IXzOKkAb0W3/qc3a3m8OJYmEAj1qETHPwFn4h1FauL9J24X97QBS/z21+G90H1rYq/985aM1w3UE
Fw/BtRR7jVgDir9c+XhfjBFAsnmaGtG+jIbjb7pi/pBaFNcwCJlQG8TlNPUz9/4kr7pOYVscs+YB
suFDY7bdeZhJ3a9wd1S6wTjNke1Fh7HOktuhaoz3wYeBHHg15BFHRj4Psivi7rby3dm+c5w0FyVD
6sLyT4CbpLgmz23WT12Bj5FNP19qmxB+jyiFA8D0s605Tosm8RGMfelsoggYwn5ZYmCLzIrbtnkq
ZNWjlPgVd6AzOR9PbFYTSr/zE5OiZHByQkH1jdOC9bDKUcg3gLPmYJdS7GGdwXgx1J7jrmHrp/GM
6ZUTadRK4c/uCSHRBTycU8+TPUazYaDPWH4+NmFSu/V7VkXyM4YP5Iek93VHxjmpzZG+ws5PTXLI
baa4VBROd8jpB7mQpr2s4a8AfHVmsaNNPa/xfsRRO+4WStOp/KgzOrbpodJUnwKXr+wejLCW5Jik
+zqPaGTSjpNj2qUPMVZTPqwhu2pYwI6ZmJ6zGuNJhsloA7+OuOYU491tyjh5gQDE1XOm651+3qva
aS8S/B8vXVxWJLO6WxsaDDHLMeB2HHsfvY4moEQTxDYOgASmqKKzT7HOn/VIcnQmlnSW0vkekwza
2RQAPyxAhwjsGOWB+9EzxUn1hvV3OnQ+grEU1QEf1v24pM+o818IK/3F0tWAzfP4esG6iNenfwVg
cy7HujrmPfZUP7VDvZRi0yG7XShlQiWgPzGJAR/kIn8mAJ+GA6s+IJzxB7M4D4rBEt1OAUYbRrLQ
rYa1CYdgZc7qenBG5ydZ7kag4YfjiAsnZsbOQo4/MRqK9kr2k9j5rmOesFGlgMkXdzMYcbJdukZ+
Z2o/HsrRTb/LpMFRgSSxU41r3MfQn3AsxT/wDdc3rtE/sHfrhwoa3cFUiL5VqtJjRV01o3/T2+Dd
hRUEH2Lfw8g/sS4k+7YVwT4uXXatxAgOozf9qN28PHGRRTpm7dgwAklBZOv0e83kdDu6FeXXMSNe
cqcduXQQmoR6ViacQV7THAtg1F26kUI/Wm5lbtoifzaK6ETYESZ+R0uM2xsv7szAwM51dk4a+kdp
U0+/VqjLG0xk9k5KdPIJDiHGCcKf3IXzSyKLw4Xn9bzx5Jaa0CafCTrJI843StRgAofSxImcjext
M/WGcJHN4R4FZfIfCidXt+Swy2rTwLxbw2XengOv3EU+xnqozkP22EF6xatgwXNMs1pQiBO3JRPx
nu/Gg4WHhv6dj6Fo7K0ZjeMtRYDWdhx5LOJgLLBsaz1/NopFdRdDKj1j1q2ORLwoej/0PFpg4GfP
1NuGn3aNGkz9l9VQyM6NPUL30sOQfM1ZF/CuTUHDZcxs1HRNIVH3Spn2xF04ccAWWCOUwKQKSkpV
pcKGYEC4FAxam5xOljnzDn5Ss0poIBy1yZ3B5W6wAqZjRtSNvcPmUhw4L6UbIZdvmgjOM3hDfV1k
BtTy/EUsKQDBIq9JInOTNxrnOjNFHoJhyGBVpJ9RJ9swFSp9LtsMpwVxjvRKtDMY1xLbecj0gJag
MnrCMZMz8aVP41I5RX22AkyOvj1ejmho944dGA85vpx3UbppGOe0KCxlAItniBNeY8xNYhfVld5z
6TOvvIiGiz7qufX1fX9ddEm94+sQzTDM+dCuby3uJe+uXEZ7HzWu3iFgkPIlT4enMN2lc3ecLDMB
Sb2OoBu5yA2df9Udlt7XaqBGyBnL4KMV3Z2vHUbZXU5iw5b9N+/noNuEeyHs8eQUlsRpyL1700O/
pkLOcXaZ0RsXzGgSaLiM1itzIVFfAwGbY7lO6C3WAzlfp7gebhbDHK/mNIDIMw8+DUrM2HWX8Wr5
AuyaIwgyB47emJOQ2yDLho2y2sNsgBKWdn8VDKxai00sFIspT2Kvq1OfOy7pZKA6sTXdD5Jsai6R
BOlFz9Fc6uDYaH0w5iY4teYYcbPWJipiUH7Mq8fBJBawHVbfgyLjx112NUNQ2QiVLM0Ig0sGqg3x
/rDrmxPzRPyfhvrSjf9Upn69WwIMHWaniN7OwUIIhTLQpNLkG2lUPRt587mCLThuDpjhioJE7Hrr
FH51IziZ4Hzig63MOdtPq79jWZ0exur5aBSJHLykoGtixomG5HcecmKBosxZ7xrvbVm9I9XqIkny
/k3UeX7hqoiZ0ww1NbJxrcMssi55BjrYfZhQpjz/wnge7LVa3mK18lx+2lWy2Y2uotqK0FIyln5g
kN+BCkyEsPv2NspFtE1Wx8vkyJHNnTmvZ8a43t0vbpw/nD4t9oXLgWHUzktJGIIegK55LiRfamnx
doJn7L/awaGHq6Ma2WER3fir/QaQfHYXiFqdzJ/GnJxK4gm/zlBGZshiSoaelOML7S5sGL39kKZQ
XcYY8SnTknXdS4vvxHIE0SFsQQOkhX02+kD6AqPad9lSXgpLgAeYF2c72vP3LoHOODKW30wBP8OU
5DmJ90Y+d6ZYoBITLmc3XaP3iT9oMCq54scf+zx75bXPe0SdSj42vsu/BSn9QODq5BV62tItFd8N
5DVv3T7KXgl/P7ieN20xx107ou6O9iBjkqVJpkhnRvyh0XadJ1TKaatd7hZMpnbOEnmCCbwP/ngY
J5x2q+kr9UYE8LgWiG+6QmLjc179UvXNaC39EcCof/S1K9+mvDNfyXN8ZCrqbxbThvM9wtQ5Zqq3
b9zSGxHBM12tYIV+xOwyU+s7BujZcK61Msv7RgbuPVWnnbll1TQ4Ygglti65/q+utSGk8qLGfKbQ
zlZkausdlLJcXhlo0/WRS+4ybDHZeeEc2w9UMw9bvzcvKSvKvnWgQL5XcXMupiRa6Bwlbt3E9ieZ
WBcZLhUf+CNxGjOxBC5rYDE4qZ9mxDRPGONrd9Yf5mpbVD8NjKuVMVpNjUxWi0NQebeYvS8iroh+
OLId6CM9WxmPszf6nxHg020iOv8m6N30BUqFc2UNqRvi8C12bkrZl6rVgpjToCnXvV3ft7YD72/m
T3GtcyHRWiOg30SoBpxFrYRIwOAAK+hqCo2tFq7zahYldSl2ip/r0LeecciIcZQHyvrSF1az/IUt
bvhWADJ6yLM+OpqZn55Md+LEGzXeualGGmxSqj/J8dJR/hwLUAkXozETqFqS9kxHJC9EYhL2UGkR
nEHBjduk1Fa+0U6lQvzYEIxM/LX9ovsXE3jpp6um8Si7mqF1lvU3Tpy0T7XttjnvX531oc0QOy9d
ZrScrigrpOmlzrg+dBNOW1bYLfckWnmWQNkrulzN4w4QaZ9fgMgvyx3jZu9piuTifYvz1aQ8Ss3O
Kgcn4EVssTJDZ0L5d3LHu/bsPHkd/QlnSe0PD8VSzVaI69u4KiqdvkZQtfdtJCHYl4suUPwrMyS+
FsuN49B6QcQEP7YZaejX/F+PumR5pVT+gRAk0faqGb5Xq7MbrDjt1P0SX7Q/vd8/beB9OZaPsJHp
uzR9cZhWv3i2OsdpXUnCOoYzqoylYATTKnc/rY5zhmFtG7oLg5yMKrndmFlgt6oFypXIquPg6/hW
KDua76WftfWNjhPthgFh1sbLt5KsAoeFEol0XlM0g2AQ8MlxM0Wo2+R+MzkPNcUteccyNtfSbzsM
CkkZbKaM4NxFoR0DNkxm7UgCVG0Ih5t1lIZgYPJkAI594rkvlPrQIr1MsfKP+ECU9R03UhSaRhbF
l+k4pg0zGLPNaOaNp9ATw0gtr+FPrD60HV0ST1DHAbPAvW567gJE4g6L6yXh2M9AQKZWnVqeyXDo
7fRSZZDTIjH4X2VbOx9mtQrmLdhVSAmleuzyIEpfqSsYtiVBOFRGby21XRaUyk7KHzDl4qM3lCuu
k4nPtklb/xlXgLlLPVbnHaacfN+Jbnk3OVhfTLNa8bEF5YnKPNR8Wfpmmv5OqVR9S7RT3k+T5Z4X
lU5bUToqdBMLx4OVlPYuzrFS49HgdNCsYbSc/GvbZvW14zRlSGzGeeo4Re6YXMAGrKxsF7PXcTjH
kK1F2++Gwj+h9Y5hzcX9vo/TYN/mpnh36S850oWlNhGjM1wNOBJ9XEOHNIZr3tauvLTT0uPj7ZLp
exGQZcA0fWPrJPg0Kxyi/CRkR0zBWEDMx8YqIJwMQ3xJI7nUGwvLB8Mkr9mrQLu7hpEEAL1lZapk
abKbIpDAtAsn3EaM/A1OudrUgV8ejRSGiDGxk1QTBGbGaqhghmnMmC9te19HDhbXwDduenuZ79VE
UQqjyiudo6W7cWXT0TAZxY5ylOSHUp5zFUVpykLbxIyziLPmHQv/oCDNFfTfkPHF6Ev/PJvONN8B
eQiuRx0TQEPqPOZeSjdUwZDU7GocFaZ1KyWxtq7rNNVmqy3cZypc1WAzONg18jo3mnarSzPfWUXk
bDJ8N6/kKPwNGduK4WWalK+G6l4x9wMdH+XBcbVlbmo1fpqajVWm5nKaS5KXFhdPiHtuP2x0hT1k
xrkD6T4mcb0U74A9k93Ip7URlf4GUvwiiamnWhpipsW3LhvX5w3H0I4aKdKs2rZ3OPvAWKQBtV1p
577nJDk2JXVbW87MsM/Wppxi12JwH2JHN5d4sCuels4/WGbuw2lz0ssijvNb9AfTDAeHuNBuJHV+
3fWctzMTtmyzyj9aduoUNE0BrnJcjsz+zR9TxRUtA5h4LJ0e+p3RCDy9IBty1X70ie7PfkkY0iR4
fUbXCpNkVieGXg0bsEFTOjSNuyVP4n3M4Jb7GkexuUoJ+C1ZeaoGNebAO7v5heECkelxurJxCzxz
lHpMAUdvfTAsF4mHNaHRCwdHuPsR0Clk9sFow2oc3gKruZqs2aYLTjxXBkseUXtnr7xWbifXli+J
xkZlgysN8e6PdEhH7uNS5y5T7lxcVHNymRrVa6/8Dj5U8tB61pfNSgqLkNNRFSsCw7V4tROai+yx
cj47nPahGVNYrozyWcNG+FKqNBboIZKyC1QPDt9agapcPMjdc09lVR1nVtgrGb2NYLDHjR5HOpeC
ebpvyCowMpMR0xwEiAm0NhXJHP6Ry51CY4yGUHhfsWDR+Gu7tcevF/n0A7RJD+2dd8Azc4hcFUfJ
JSU6DrA45KNS/lWeueoGNgkigYU5iWB0DtLKEwRjdqOkmnQ3mIm6Ftg4wXUr/lNeyS8Ri3snq1k8
ZJqcgRPk59llcyVr/hHlaqB5zsjjnfbWiQQscdyd+rykfs6rbj23bEmEP4kqDWLVAlWFpB3Ag/It
j0GP23PKS3H9C5eTcNwJlgRPt+N0zGqwLGPzBkLnTIM5tWKpYrITG1dRwOx1KTDeYfw/K4uI3mTn
/s7PveKsXOQ/3NjdlvoUKEvc4raR01y28XgXZN2nCf49pGnCZehf3TUODmuEGf9UOcRWfKNPDtxd
EBCX0riZhPOSWk53QccLKJ3Wo368sOnHMlW8S+vSOuqMy1nrDt2poo4X5aIHB5+7nwwGg7sB3OAx
i7CoJ/X8lsfMnEVP0wvM6pRKV/t75I7WwyTdPPQ0c/ctQbXph9v54wNrH3ZyzyUObjbDuW0Qo0wr
21qR4VwVdG6hs4Bp3bVmntOrUV05fdFto8V2hlCkU8BMm0p3xg1mkp/XXkArWOp9ns7qvbPq+hUc
nb2WGy7LBz575g3wd4332ivbG98sjGPGhteSsvI1DPqsvfTxP24xIGdJSGqd0YoDD72c5++cs3i1
YpBdgMzkTT3Z0dXSJ8OHkXpfWA9mtQkSowPcJYO7RTvR1k39qdqq1JyepHaHWyESZ7luaX5Xm8kv
6wMqaEmsprfVGuiBxYpj2GfUn+pQ4Tlqt1gMFPEnCm4dMzKurbR1sb+yGRzTaHycY/eJE4L70FDB
CBNi7o+8BxhJ2o4pXSCfJwmPBqyDeIhNhktdYt9Iq4veS03tckaLAVZKgU2h4JJuXEyCQ80l2OBu
0/RjcsEZotd7eE31FrOUN5ydivVn4/WgO+mqo/IakahINhNaGGeaEuNlxeWG491UK1hCXt0+t8pp
LppGSsJBlCGS2MbgfJhVFm1n1oVXr8ajeM0synwc+QJeKJthoW0HBimvcYRohECdMCUGEmgPCngW
T0+zNdVE7KOpUsIXSrUhG1YAo2CIOTHhyNxYol9B//16EmKVeS1zz3/D2Cl5tYesPyqZUFho6IZD
q3TIScRrs5Ejbf3gDormzcpkUrbhGib5JIzgufhpvEjIYoVVHMU6RFOb76k00KBkedF2S7MmbPyO
i7cWbNEcQUsVjrb6woda7RgR3EEvJdSO3fOssEtR1DRAQkqj5k7Ho3jJMk7gxPVX32vrWrddU1tM
05pR3nduy37KWlbfFgQgXwwnHc520qDLlAzwr9rZ6F9ycL7XcPiApSrI1VxeO/uuAwl5HxgR15cW
s+2FYSTi+0yN67nv5IgD1UYM1WLgLa0rltVN6UqCHbJLMKpQrslLOTnsWMOEKrixW/rBr1H4e/YT
Sk+Ki8wSs4t7enL5pEsqrfo2zkKdd7dL3MEW8GYFthUZ6tGkbfKcUQcAszmZvwpVWq+R1XFQW7ye
SmYEJrrgMbxt4ixtXgbPrfeTwa4b1w6bGY9UyGUn3Zlxlx2Uge9kgzR60UbaP42T2e/gS+aXyiJp
wMneMi9rKtGfaIPooRPotAxxODlbrwXKaJP9u1N5o67deZLHknjyrhsXdZg6Zty2op0UY/nUX0ks
/d9Qb2njguHwaHK+u2zrZtoPPad/5EwflcZI7rF0jFsZxLC7mGXQjtCVV0MffBijZVHLVBJoTNw+
NDDGXgUjrwYwj4TZrn2qE0veEsTWp2l2x7Nn+Av8Y+r2HOgfPDQBTDqvb88d9JIrMkn5pfSC7zCH
6fiMZuJgcn6P5zLZCifnZiAzZEWLLpiwaednorjR3m9B7Cqx2DuDB/2QjCAoxxYebd7VaDZ1Xs0C
oY0KYVtboYenc9O7NWdZc2lf04KCP64Ky3FutQekxGKMK/0aHdgKCsogXTEW99rFFz0nbDY0E2Ak
oU0ov6Q2IpxcxjdorBYnjTrZW9hzNkG9XLv5wv9uRnedreebqa/Qgcf8OejENztmscbtu0sBgIYo
Je9BRSQwiBl4THiow84ozJDC1HovrNw5Tk6J9T27XySEitpxcbkPxJXjeLkh+gh7OmteVNdkt2QA
jpEhjhys+sMIBubN0IxBBIko2yR/YS6ckDXF8gdM6PSdyeG9DLLmbhqaO9x2xbwxa8nWbq0XwaQw
biSoBvIJGCubipIbZzQ+HcMfrmpRtbABtbNJGYMh9ATOt35i1h6X+nJUSp/aovkPpeF/N7Z2TcGg
978fWz//aAlK9H8aXP/+b/4wKlu/Ob5N+ocP+ffo0D9DRb4Nv8HxTYIh1u8u5n8OrqHjYtmlalz4
K7yBaO8/B9eOoLeQMbjkWZMWzn3/3wkVrZGhXzANgopvi9JyfkK+yToj//PUGof/sGB+dI9Scp8u
k0TShQTi55e/yf8C1CU9y+Z3BMJrBwzH1/7GX2fj0QBMx6bk+DhkFdwbune4wOqoflvR4belByan
gCjVhhCg1evff+/18/r1V3TWb04YW2If4EbJH/vP3zzxioKKZgC1sRPUOetVN6HrYaOGrp7fs8HU
73FQqgB1iflKt8zpD230pOG91rPDAsvnZh5wqPQc67d2YzTnIa8TLGjZesYpgBr2c4upiSXhauj8
6L6kODf8P/wSPqYCC4aDy4P0l7+g2dI9U/YLQ44F4Ix2wDqVRonZ15/mp4ZMxTaycp81uIR6b5la
vXJwlaFbxzM/XxqsBmmhb2tUGi6CC36bgDHbKHOYMcGYM9KZrMcyHXo6Y5Yev0CJC+7vfwce2X/5
HBA2AlggEvqI+EunRefYwzD7U0CzjZrCljAUN7V2xmuXff39d/qXynU+cfRmG3eHK10sIX/+xLkJ
dOtgIziOdmwSB2n48DzZnNvebu5MF7f033+/v7xEP5+wAAgc4BRnHUitT+Av1g9hdVVF+JzvF6ft
HStKR/EXPKq//y7/xd/PMTGeuFx6iTA4f/n7BS3LRTEZ8tiKKT3gZvhSdpAe804+/v03Wg0zf/2k
XGGtRabruvAvi0IW47OZeAaPYuFevvidAPPKMzPPfHBzaa8yTEIuDgJHfo9xQl4quhpDB0P8fTJU
y0Xpus1dS1k6kfARN5Wy1vD+CNXhGK/0QKik2Lx5Np/GGObJFi+/Qzo2m/AlOzHfBAAydb+SPG4n
vO5l8pb0+Pe/pP2zQ+WXpc/hCTEtlgZf+JxpAhdv0K+f2kqvogKv1ceJSDeSD829/trhi1SV7+u8
49JIwS80fpp+185fHt7sSDMyKFVmonskGgCuP2uCSRSFjVcRzhN5eu1iZXvzJ3qFGd/tWmsSD1ZQ
NjRbTgUaJYevR2HmwT6B/gWaJtFPSVwJTv10F0OPsbIxfmM5y49eT79xPAiXUDidx+wuybGkW3pn
x156hEcxE5ynJTnBknTo7Fo+kszPTpmBblBZTQIXJY4+EuIz25JA44ki6/FGFTQ+b8aFVmbCbQWR
ZtLvahQcXR01bD2MwcW2t8Cj5MBsnimg2xZr3zMXe+PGBc3yOc/z6uqnFxowuH1wI4eTe+YRrF+4
0oScMB0IP7b5qIaufAEInn8pK6lxGpnBzDSqxbVJGZppcyNI9DcfJmHor63VbhAUp2zO9OXSBN6N
t7Zb9zKlqsIu0+kGyQ4ncVa47yaF2IamGTuhIttganCF78kg3Z1CIvTbc1kyQITs3gA0CU56NKrr
OlLRRmgyYZzqUYcMuMPcMi/XvyfOxkxt7bW/G9sMTde0y7sJLROOTsxTnJflpROp+cn4WQJuQde7
tgYDgsQ8JmJnsr9w1aU5HKqXPA2LY7+3oExuae3qGFubA3lbv7Mfc2cPfYgnYm0kHxrbfq/XlvI8
EUZoI/qXm/Vk98RFlGKrnJj7GMEoQ1GNjxO150li34mI2i7WtvGET3fezIbu5aZNxKfd8pkjrqm7
uS2u0silc2LtVx/jYkChodgrKfth25pcDQWla2bsoMIGOn7AW3NFPOAtWdvbk7XHPbJodM9a7wX1
FttCVaHWdNnWyLzguadhdG+3LfNmPUygifJgU48LjfEmbYdD1hibfu2T99dmebl2zFvlTz5AveYH
4uCAvFqRTqSV3lj76RWQJhKVlG6SkKJPpjWbkYcLO0vINgTOOpb/j70za04bS8PwX3H1PS7tQlPV
XdVtCAa8ZBwnzuSGUkBBAiGhFcSvn+cI5CC8xLG4oKZG1RcdA99ZdJZvfV8DqvuVRzbS1FB6cZK0
hjr58jDgAsUeEzG0oa+TAIVLTBAaC4q//pGU2fJ2Q2yAYyqRo2FRyFqfYL1/KauedGmGbBejBZT7
HCB1/HZZFy4Xl2CwC5J16o4u1tIsGMe5Nv06A8N6YphJ8VXN49VggZuhP88tSASmS+0KxANA6lIq
AMhTzvsZeWe3rQKPfeYXBEfBvTYTuU/Vl7mJOnJkLLoLaUoufmuz/qzlUvBBFdo9nKHLLqkjEI8W
5FRRbuL1ZCMKrjw83/gJ8DOA0w+AVZABQu0Z66h0HHaMMCt6LYMipSiR5h9Gs7z4kafxKryRCnLW
R/igLzZ5QXZSSGbLErCKjjfl5pA3YFlC6bns4hFWuow4HphGqnRXFJnAdSIVQ3LZkwdSHrRbhY16
U3g4zjoQBZOfKJFM4YBjuqKiScJsA7Fy7BIlgxLHM7+UCIiBbsr3LQn9guCJewuLENpJjsoXhqBQ
AYE+o3f+OoqoOAUTdi0Z8zufoo6vs5k678ylzapDLdv6Y0tfUpAxl9X+CloaPGNW9iVME8pf8BxM
Ni1XAu9a4+yJGWS0RP0y/BBYSBIfL4tCXd6o7mY0MJOYm2tFWf0F1BZzgtLBsmvFOSMHk+tWMAt0
9ExVuhQgKV0N8ojbjbnEX07oi98olg9cI+5DkKRVejLPoGrK85QhtQwBEA98EsR8uIO7quXqtzIH
A/EmKiWWqbIh/Gv4F5aZjQboKvrFcmRYpHL58SA3WK+yiqcCHTj/4uUx53qoRIMZOAaAMukaLNDS
IuqBTaUPCeS17goacDstgukk7RNb7OiFq39bgRwtOHDd9E4yl/wfyWx3sURFT2y68ldyGwG1puYG
/2/YS2YK9j/6ojrU1xKQNBwKMsXi0OFE+B7Jvesv5hS+5v4MwEF15HbDILvHUwqkVZrCUjtf6V0S
MEkKDyyKAdxp3ouXeeH2mH5zPo61duRexckignupwKtO5g4oOnARSp1YpQLiyiICvORkhXJQwI5p
7g05XOvFpl9e7/8vsP1VgS0IFigyLxusDwWl8MG0ZrBuf7MzWEs6Fx0iFUNCRwdeEG22yrSW5XOJ
rKQ29uzOKK1AMIS9KikqOMgmXC/Q5/20V6VzCEFxiElt6mBNcrQb2KtYcbrQgQFgIW+K0juhJO+p
2oDeyeTtR6ubbDGZJj6Oku97s/GMqSq0vj2t8EkDwrbYayBeq/5iuaaBNoR1LpdyZtlefuNZJGFM
Xm9KP7BMyVdvt3UoBlGyLV3TpQONvuB28nVfk69nOtl/YIwtWopKlZ/IS5tH+rdktp62xy61SKmE
tgJvyIZcI73wgoGkQpS5mIQRSQVTlESAtCyzB+GL1CvaQeZ4bUgbFldZrCUtbSgZsJD4iTUbxfft
GQe8obXC0X0RpR9miqcPEpyBH2fws5PMNxtFQXoBkyc0IGrMFlZyo4VWBBiQhU/ZX0Tu/FNkUc8T
ozIGkMB36ASXFCF+DB+qHwexvPQ+F2sfjtpRRN0Vt5C/AmDRA65waALy2NFx9t20ZUo5v3GPk4Db
mpLL205hrAcoXVNv8XQtN8NZSsDj04pkZC3oqvkUNAfKismrWY9Ieoy9pPe/dWrsjj/B4dQtqy7+
nTlxceckGdH+qnxBfPox9IL0npTClNKM3/3S64LO3uQ4Y52KvVk7h8pOlZ15TYZv0+ds4oBlb4lK
fo1ydIkThIdDxYdSafcxSC8UfuhEmSm9hWYKa27/bb82Da+PcDufr3+nNoJxmAWpeA+k5Af7Jytn
1Nvm4EBCbQ50ZtLEO1cOUQKuaH8OLBi2ZAgCVEvbztG2wb2F8tJSeH18vz0H9oRrpePBluON0/05
UI0SqKjRStBAZlIx0VWulu1Tn4U2QEuq8GVaXDHiYZZo8IRmAWwoY7s8x+t/TZ3wcXX+xn7A80uU
UQECSnkc5f5aMPVzbmwJBIvdWuDuOq1ZUDFoGp8KFG7hCCWdZLvpJW7V/VloG+f4shXNQA8pn5Nb
C7IsCRdhox2hgH8ifPcG3vtnd4RyDlwYZWhC6RLPyc2CorFQG86CBo0zOmcbMLBnZ0FWwG0jSgIA
9altBcI6IgzSaBFo0jlqsACC277jJ1vBOqcZrFqc4NUiObEDgeSYxovAPAdSVLjF4YMRDyr9/oGw
XQSGqB/HCOE5ubUAb+X2qH7/3QDvD/qRDubQ7m5gkLVJkHQAkwSV0MkdBKoGPkHDnSBURYUUKkPB
ihLPwaUgY7niUFEUxTi5SxGthVrhRgcBmP5UHxvE1qzt8A/fvmyB7k+gA/it7R45vePQlLcr8/17
AC1RhX7W5EjcDvKJvYAaiYpIjeRWCXmTfviGLz2aXheu509Ko8tzkufMrpe+UCnjTz/fGRr9yZ9/
CGui9kXhC9q2/dMm+6umiJcq8N6HlUpctrP7+W6AT5uutVWNqvrjpefENq7dovyg2HXzxl5guP3t
29/tOnMFJy+v92dP/vyj1s+99f8LwcncruSIOcFbhdeksVzg7MM63Bx5+CyS5oLndpDUgQ1ApWJ7
NpV8YfvejzA+ALTdniWNZYd+GNuTGm/d9o5qLjkInHHqwQFaTYF4iyY+xerfzzo4H0/H11ZHx/Ht
lR07lSQhud0Wql/Tbld27Vn44wwPW7b47tVWoQXEX/NWCIfE3qQmeGcqNO1/zwnjab3LaEUi2aep
5Etm3PMqOeWOVCGWqf7w/pfZn8B+U4kp5YJ5fIQjpO8DLBl6SV10qYs3nYt+MPHsg1OELANUkcaS
w1V9WZBJhZbbVOzw6dlkyMoR9suQnmXjeVF1sXx/QgOv/vD+dXEVEsp9Ms3Adh9hbVzbXlA7PUSW
3RH6fG3D8WYHk2r0YjoU8EaP8Aqv7SSxx26WOGlaW9MAX2rHmBJv7HpTu+7VBAf9CDv82uMuIAe4
trLhqhLY6k1X9rWXJOI/KgUrYeWky+RmVn94/xoU0kNS1itJO9FH6TjJpAdniCIDT1Q19f5O3zjf
Y/tAeyJjzDiK6Nyu31s793/T13jjrM4u7cUycb36tY58YeYfQ/7AiROnqGSVr5Lq0CMJv3bW3rh2
jeEIFs6/Y/T8P2E8ryTt+i08ao1Fgz7pnj0HwUxRv3y0Bjr2/HDvq3DPNe//S4zLL8OUvUm7hJjm
RT6+pqJjB3qtauTlq9w6R5u+yo+/4L1o2O87N5w4Z/3kyd1mGiLLumnvP/0SC7xh/7cNPF2IAmr8
CPbIPbPvJIlTUyl2IZCmc/MiXF7DKfmc2m715sRC3Dnnmnb3lTKJhh3+4mHZHFjBKoHCI6y/B5t7
B5zS+tbEmy5c1k1n5MFJ0rNnO08M7wiL78FLxiFpZrVjZReLbdz3l3OIXn2bz3maHqO0T/1PVQz6
uZ/VnWviG2PfseO//gsAAP//</cx:binary>
              </cx:geoCache>
            </cx:geography>
          </cx:layoutPr>
          <cx:valueColors>
            <cx:maxColor>
              <a:schemeClr val="accent5">
                <a:lumMod val="50000"/>
              </a:schemeClr>
            </cx:maxColor>
          </cx:valueColors>
        </cx:series>
      </cx:plotAreaRegion>
    </cx:plotArea>
    <cx:legend pos="r" align="ctr" overlay="0">
      <cx:spPr>
        <a:solidFill>
          <a:srgbClr val="002060"/>
        </a:solidFill>
        <a:ln>
          <a:noFill/>
        </a:ln>
      </cx:spPr>
      <cx:txPr>
        <a:bodyPr spcFirstLastPara="1" vertOverflow="ellipsis" horzOverflow="overflow" wrap="square" lIns="0" tIns="0" rIns="0" bIns="0" anchor="ctr" anchorCtr="1"/>
        <a:lstStyle/>
        <a:p>
          <a:pPr algn="ctr" rtl="0">
            <a:defRPr>
              <a:ln>
                <a:noFill/>
              </a:ln>
              <a:solidFill>
                <a:schemeClr val="bg1">
                  <a:alpha val="89000"/>
                </a:schemeClr>
              </a:solidFill>
            </a:defRPr>
          </a:pPr>
          <a:endParaRPr lang="en-US" sz="900" b="0" i="0" u="none" strike="noStrike" baseline="0">
            <a:ln>
              <a:noFill/>
            </a:ln>
            <a:solidFill>
              <a:schemeClr val="bg1">
                <a:alpha val="89000"/>
              </a:schemeClr>
            </a:solidFill>
            <a:latin typeface="Calibri" panose="020F0502020204030204"/>
          </a:endParaRPr>
        </a:p>
      </cx:txPr>
    </cx:legend>
  </cx:chart>
  <cx:spPr>
    <a:noFill/>
    <a:ln w="0">
      <a:solidFill>
        <a:srgbClr val="002060">
          <a:alpha val="87000"/>
        </a:srgbClr>
      </a:solid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microsoft.com/office/2014/relationships/chartEx" Target="../charts/chartEx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6.png"/><Relationship Id="rId18" Type="http://schemas.openxmlformats.org/officeDocument/2006/relationships/image" Target="../media/image11.svg"/><Relationship Id="rId3" Type="http://schemas.microsoft.com/office/2014/relationships/chartEx" Target="../charts/chartEx2.xml"/><Relationship Id="rId7" Type="http://schemas.openxmlformats.org/officeDocument/2006/relationships/chart" Target="../charts/chart15.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11.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image" Target="../media/image4.png"/><Relationship Id="rId5" Type="http://schemas.openxmlformats.org/officeDocument/2006/relationships/chart" Target="../charts/chart13.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image" Target="../media/image12.png"/><Relationship Id="rId4" Type="http://schemas.openxmlformats.org/officeDocument/2006/relationships/chart" Target="../charts/chart12.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11</xdr:col>
      <xdr:colOff>453264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552503</xdr:colOff>
      <xdr:row>2</xdr:row>
      <xdr:rowOff>162278</xdr:rowOff>
    </xdr:from>
    <xdr:to>
      <xdr:col>11</xdr:col>
      <xdr:colOff>214923</xdr:colOff>
      <xdr:row>35</xdr:row>
      <xdr:rowOff>78155</xdr:rowOff>
    </xdr:to>
    <xdr:sp macro="" textlink="">
      <xdr:nvSpPr>
        <xdr:cNvPr id="2" name="Rectangle: Rounded Corners 1">
          <a:extLst>
            <a:ext uri="{FF2B5EF4-FFF2-40B4-BE49-F238E27FC236}">
              <a16:creationId xmlns:a16="http://schemas.microsoft.com/office/drawing/2014/main" id="{1D87E96A-2411-4ADA-8C05-55A04E2269C9}"/>
            </a:ext>
          </a:extLst>
        </xdr:cNvPr>
        <xdr:cNvSpPr/>
      </xdr:nvSpPr>
      <xdr:spPr>
        <a:xfrm>
          <a:off x="552503" y="530578"/>
          <a:ext cx="6368020" cy="599282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PROJECT SPLIT</a:t>
          </a:r>
        </a:p>
        <a:p>
          <a:pPr algn="ctr"/>
          <a:endParaRPr lang="en-US" sz="2000" b="1"/>
        </a:p>
        <a:p>
          <a:pPr algn="l"/>
          <a:r>
            <a:rPr lang="en-US" sz="1800" b="1"/>
            <a:t>CATEGORY</a:t>
          </a:r>
          <a:r>
            <a:rPr lang="en-US" sz="1800" b="1" baseline="0"/>
            <a:t> 1 (INDEPEBDENT VALUES)</a:t>
          </a:r>
        </a:p>
        <a:p>
          <a:pPr algn="l"/>
          <a:r>
            <a:rPr lang="en-US" sz="1800" baseline="0"/>
            <a:t>customer name</a:t>
          </a:r>
        </a:p>
        <a:p>
          <a:pPr algn="l"/>
          <a:r>
            <a:rPr lang="en-US" sz="1800" baseline="0"/>
            <a:t>ship address</a:t>
          </a:r>
        </a:p>
        <a:p>
          <a:pPr algn="l"/>
          <a:r>
            <a:rPr lang="en-US" sz="1800" baseline="0"/>
            <a:t>ship city</a:t>
          </a:r>
        </a:p>
        <a:p>
          <a:pPr algn="l"/>
          <a:r>
            <a:rPr lang="en-US" sz="1800" baseline="0"/>
            <a:t>ship country</a:t>
          </a:r>
        </a:p>
        <a:p>
          <a:pPr algn="l"/>
          <a:r>
            <a:rPr lang="en-US" sz="1800" baseline="0"/>
            <a:t>product name</a:t>
          </a:r>
        </a:p>
        <a:p>
          <a:pPr algn="l"/>
          <a:r>
            <a:rPr lang="en-US" sz="1800" baseline="0"/>
            <a:t>sales person</a:t>
          </a:r>
        </a:p>
        <a:p>
          <a:pPr algn="l"/>
          <a:r>
            <a:rPr lang="en-US" sz="1800" baseline="0"/>
            <a:t>regon</a:t>
          </a:r>
        </a:p>
        <a:p>
          <a:pPr algn="l"/>
          <a:r>
            <a:rPr lang="en-US" sz="1800" baseline="0"/>
            <a:t>payement type</a:t>
          </a:r>
        </a:p>
        <a:p>
          <a:pPr algn="l"/>
          <a:r>
            <a:rPr lang="en-US" sz="1800" baseline="0"/>
            <a:t>category</a:t>
          </a:r>
        </a:p>
        <a:p>
          <a:pPr algn="l"/>
          <a:endParaRPr lang="en-US" sz="1800" b="0" baseline="0"/>
        </a:p>
        <a:p>
          <a:pPr algn="l"/>
          <a:r>
            <a:rPr lang="en-US" sz="1800" b="1" baseline="0"/>
            <a:t>CATEGORY 2 (DEPENDENT VALUES)</a:t>
          </a:r>
        </a:p>
        <a:p>
          <a:pPr algn="l"/>
          <a:r>
            <a:rPr lang="en-US" sz="1800" b="0" baseline="0"/>
            <a:t>revenue</a:t>
          </a:r>
        </a:p>
        <a:p>
          <a:pPr algn="l"/>
          <a:r>
            <a:rPr lang="en-US" sz="1800" b="0" baseline="0"/>
            <a:t>unit price</a:t>
          </a:r>
        </a:p>
        <a:p>
          <a:pPr algn="l"/>
          <a:r>
            <a:rPr lang="en-US" sz="1800" b="0" baseline="0"/>
            <a:t>quantity</a:t>
          </a:r>
        </a:p>
        <a:p>
          <a:pPr algn="l"/>
          <a:r>
            <a:rPr lang="en-US" sz="1800" b="0" baseline="0"/>
            <a:t>shipping fee</a:t>
          </a:r>
          <a:endParaRPr lang="en-US" sz="1800" b="0"/>
        </a:p>
      </xdr:txBody>
    </xdr:sp>
    <xdr:clientData/>
  </xdr:twoCellAnchor>
  <xdr:twoCellAnchor>
    <xdr:from>
      <xdr:col>12</xdr:col>
      <xdr:colOff>106973</xdr:colOff>
      <xdr:row>3</xdr:row>
      <xdr:rowOff>174760</xdr:rowOff>
    </xdr:from>
    <xdr:to>
      <xdr:col>22</xdr:col>
      <xdr:colOff>397008</xdr:colOff>
      <xdr:row>35</xdr:row>
      <xdr:rowOff>98633</xdr:rowOff>
    </xdr:to>
    <xdr:sp macro="" textlink="">
      <xdr:nvSpPr>
        <xdr:cNvPr id="3" name="Rectangle: Rounded Corners 2">
          <a:extLst>
            <a:ext uri="{FF2B5EF4-FFF2-40B4-BE49-F238E27FC236}">
              <a16:creationId xmlns:a16="http://schemas.microsoft.com/office/drawing/2014/main" id="{4A01ABB4-D165-4F7F-9D33-5359E61E37BF}"/>
            </a:ext>
          </a:extLst>
        </xdr:cNvPr>
        <xdr:cNvSpPr/>
      </xdr:nvSpPr>
      <xdr:spPr>
        <a:xfrm>
          <a:off x="7422173" y="727210"/>
          <a:ext cx="6386035" cy="581667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5">
                  <a:lumMod val="75000"/>
                </a:schemeClr>
              </a:solidFill>
            </a:rPr>
            <a:t>POTENTIAL</a:t>
          </a:r>
          <a:r>
            <a:rPr lang="en-US" sz="1000" b="1" baseline="0">
              <a:solidFill>
                <a:schemeClr val="accent5">
                  <a:lumMod val="75000"/>
                </a:schemeClr>
              </a:solidFill>
            </a:rPr>
            <a:t> ANALYSIS/QUESTIONS</a:t>
          </a:r>
        </a:p>
        <a:p>
          <a:pPr algn="l"/>
          <a:r>
            <a:rPr lang="en-US" sz="900" b="0" baseline="0">
              <a:solidFill>
                <a:schemeClr val="accent5">
                  <a:lumMod val="75000"/>
                </a:schemeClr>
              </a:solidFill>
            </a:rPr>
            <a:t>regional performance by revenue generated </a:t>
          </a:r>
        </a:p>
        <a:p>
          <a:pPr algn="l"/>
          <a:endParaRPr lang="en-US" sz="900" b="0" baseline="0">
            <a:solidFill>
              <a:schemeClr val="accent5">
                <a:lumMod val="75000"/>
              </a:schemeClr>
            </a:solidFill>
          </a:endParaRPr>
        </a:p>
        <a:p>
          <a:pPr algn="l"/>
          <a:r>
            <a:rPr lang="en-US" sz="900" b="0" baseline="0">
              <a:solidFill>
                <a:schemeClr val="accent5">
                  <a:lumMod val="75000"/>
                </a:schemeClr>
              </a:solidFill>
            </a:rPr>
            <a:t>customer performance analysis by quantity purchased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payment type usages over time by product purchased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best perfomrming ship country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best performing product of the year by product purchased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product performance category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performance category by ship city by quantity and revenue</a:t>
          </a:r>
        </a:p>
        <a:p>
          <a:pPr algn="l"/>
          <a:endParaRPr lang="en-US" sz="900" b="0" baseline="0">
            <a:solidFill>
              <a:schemeClr val="accent5">
                <a:lumMod val="75000"/>
              </a:schemeClr>
            </a:solidFill>
          </a:endParaRPr>
        </a:p>
        <a:p>
          <a:pPr algn="l"/>
          <a:r>
            <a:rPr lang="en-US" sz="900" b="0" baseline="0">
              <a:solidFill>
                <a:schemeClr val="accent5">
                  <a:lumMod val="75000"/>
                </a:schemeClr>
              </a:solidFill>
            </a:rPr>
            <a:t>top performing customers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top performing sales person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average shipping ee by region</a:t>
          </a:r>
        </a:p>
        <a:p>
          <a:pPr algn="l"/>
          <a:endParaRPr lang="en-US" sz="900" b="0" baseline="0">
            <a:solidFill>
              <a:schemeClr val="accent5">
                <a:lumMod val="75000"/>
              </a:schemeClr>
            </a:solidFill>
          </a:endParaRPr>
        </a:p>
        <a:p>
          <a:pPr algn="l"/>
          <a:r>
            <a:rPr lang="en-US" sz="900" b="0" baseline="0">
              <a:solidFill>
                <a:schemeClr val="accent5">
                  <a:lumMod val="75000"/>
                </a:schemeClr>
              </a:solidFill>
            </a:rPr>
            <a:t>unit price distribution by product category</a:t>
          </a:r>
        </a:p>
        <a:p>
          <a:pPr algn="l"/>
          <a:endParaRPr lang="en-US" sz="900" b="0" baseline="0">
            <a:solidFill>
              <a:schemeClr val="accent5">
                <a:lumMod val="75000"/>
              </a:schemeClr>
            </a:solidFill>
          </a:endParaRPr>
        </a:p>
        <a:p>
          <a:pPr algn="l"/>
          <a:r>
            <a:rPr lang="en-US" sz="900" b="0" baseline="0">
              <a:solidFill>
                <a:schemeClr val="accent5">
                  <a:lumMod val="75000"/>
                </a:schemeClr>
              </a:solidFill>
            </a:rPr>
            <a:t>customer purchase frequency by ship address</a:t>
          </a:r>
        </a:p>
        <a:p>
          <a:pPr algn="l"/>
          <a:endParaRPr lang="en-US" sz="900" b="0" baseline="0">
            <a:solidFill>
              <a:schemeClr val="accent5">
                <a:lumMod val="75000"/>
              </a:schemeClr>
            </a:solidFill>
          </a:endParaRPr>
        </a:p>
        <a:p>
          <a:pPr algn="l"/>
          <a:r>
            <a:rPr lang="en-US" sz="900" b="0" baseline="0">
              <a:solidFill>
                <a:schemeClr val="accent5">
                  <a:lumMod val="75000"/>
                </a:schemeClr>
              </a:solidFill>
            </a:rPr>
            <a:t>top 10 products by trevenue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shipping fee impact on total revenue per order</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product category performance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performance analysis by ship country, reference to quantity and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product category performance by revenue generated</a:t>
          </a:r>
        </a:p>
        <a:p>
          <a:pPr algn="l"/>
          <a:endParaRPr lang="en-US" sz="900" b="0" baseline="0">
            <a:solidFill>
              <a:schemeClr val="accent5">
                <a:lumMod val="75000"/>
              </a:schemeClr>
            </a:solidFill>
          </a:endParaRPr>
        </a:p>
        <a:p>
          <a:pPr algn="l"/>
          <a:r>
            <a:rPr lang="en-US" sz="900" b="0" baseline="0">
              <a:solidFill>
                <a:schemeClr val="accent5">
                  <a:lumMod val="75000"/>
                </a:schemeClr>
              </a:solidFill>
            </a:rPr>
            <a:t>sales person effectiveness by product category</a:t>
          </a:r>
        </a:p>
        <a:p>
          <a:pPr algn="l"/>
          <a:endParaRPr lang="en-US" sz="900" b="0" baseline="0">
            <a:solidFill>
              <a:schemeClr val="accent5">
                <a:lumMod val="75000"/>
              </a:schemeClr>
            </a:solidFill>
          </a:endParaRPr>
        </a:p>
        <a:p>
          <a:pPr algn="l"/>
          <a:endParaRPr lang="en-US" sz="900" b="0" baseline="0">
            <a:solidFill>
              <a:schemeClr val="accent5">
                <a:lumMod val="75000"/>
              </a:schemeClr>
            </a:solidFill>
          </a:endParaRPr>
        </a:p>
        <a:p>
          <a:pPr algn="l"/>
          <a:endParaRPr lang="en-US" sz="900" b="0" baseline="0">
            <a:solidFill>
              <a:schemeClr val="accent5">
                <a:lumMod val="75000"/>
              </a:schemeClr>
            </a:solidFill>
          </a:endParaRPr>
        </a:p>
        <a:p>
          <a:pPr algn="l"/>
          <a:r>
            <a:rPr lang="en-US" sz="1000" b="1">
              <a:solidFill>
                <a:schemeClr val="accent5">
                  <a:lumMod val="75000"/>
                </a:schemeClr>
              </a:solidFill>
            </a:rPr>
            <a:t> </a:t>
          </a:r>
        </a:p>
      </xdr:txBody>
    </xdr:sp>
    <xdr:clientData/>
  </xdr:twoCellAnchor>
  <xdr:twoCellAnchor>
    <xdr:from>
      <xdr:col>12</xdr:col>
      <xdr:colOff>217476</xdr:colOff>
      <xdr:row>39</xdr:row>
      <xdr:rowOff>3724</xdr:rowOff>
    </xdr:from>
    <xdr:to>
      <xdr:col>24</xdr:col>
      <xdr:colOff>124239</xdr:colOff>
      <xdr:row>68</xdr:row>
      <xdr:rowOff>151848</xdr:rowOff>
    </xdr:to>
    <xdr:sp macro="" textlink="">
      <xdr:nvSpPr>
        <xdr:cNvPr id="4" name="Rectangle: Rounded Corners 3">
          <a:extLst>
            <a:ext uri="{FF2B5EF4-FFF2-40B4-BE49-F238E27FC236}">
              <a16:creationId xmlns:a16="http://schemas.microsoft.com/office/drawing/2014/main" id="{806F617F-0431-4119-BFE4-36425B19244C}"/>
            </a:ext>
          </a:extLst>
        </xdr:cNvPr>
        <xdr:cNvSpPr/>
      </xdr:nvSpPr>
      <xdr:spPr>
        <a:xfrm>
          <a:off x="7532676" y="7185574"/>
          <a:ext cx="7221963" cy="548847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t>POTENTIAL INSIGHTS</a:t>
          </a:r>
        </a:p>
        <a:p>
          <a:pPr algn="l"/>
          <a:endParaRPr lang="en-US" sz="800" b="0"/>
        </a:p>
        <a:p>
          <a:pPr algn="l"/>
          <a:r>
            <a:rPr lang="en-US" sz="900" b="0"/>
            <a:t>Fine-tune the best-performing region and allocate more marketing/ad spend and local promotions to dominate that area. Consider expanding logistics and salesforce presence there.</a:t>
          </a:r>
        </a:p>
        <a:p>
          <a:pPr algn="l"/>
          <a:endParaRPr lang="en-US" sz="900" b="0"/>
        </a:p>
        <a:p>
          <a:pPr algn="l"/>
          <a:r>
            <a:rPr lang="en-US" sz="900" b="0"/>
            <a:t>Identify bulk buyers and reward loyalty or offer bulk-purchase discounts to encourage higher order volumes. Build custom loyalty tiers.</a:t>
          </a:r>
        </a:p>
        <a:p>
          <a:pPr algn="l"/>
          <a:endParaRPr lang="en-US" sz="900" b="0"/>
        </a:p>
        <a:p>
          <a:pPr algn="l"/>
          <a:r>
            <a:rPr lang="en-US" sz="900" b="0"/>
            <a:t>Reveal shifts in customer payment preferences (e.g., rise in digital wallets). Use this insight to streamline checkout  or promote specific payment partners.</a:t>
          </a:r>
        </a:p>
        <a:p>
          <a:pPr algn="l"/>
          <a:endParaRPr lang="en-US" sz="900" b="0"/>
        </a:p>
        <a:p>
          <a:pPr algn="l"/>
          <a:r>
            <a:rPr lang="en-US" sz="900" b="0"/>
            <a:t>Focus cross-border marketing and inventory fulfillment on this ship country; negotiate better shipping rates to improve margins.</a:t>
          </a:r>
        </a:p>
        <a:p>
          <a:pPr algn="l"/>
          <a:endParaRPr lang="en-US" sz="900" b="0"/>
        </a:p>
        <a:p>
          <a:pPr algn="l"/>
          <a:r>
            <a:rPr lang="en-US" sz="900" b="0"/>
            <a:t>Use as a flagship product in promotions, bundles, and campaigns. Ensure it is always in stock and supported with high-performing ads.</a:t>
          </a:r>
        </a:p>
        <a:p>
          <a:pPr algn="l"/>
          <a:endParaRPr lang="en-US" sz="900" b="0"/>
        </a:p>
        <a:p>
          <a:pPr algn="l"/>
          <a:r>
            <a:rPr lang="en-US" sz="900" b="0"/>
            <a:t>Spot underperforming categories to improve or phase out, while doubling down on categories with high returns via targeted campaigns.</a:t>
          </a:r>
        </a:p>
        <a:p>
          <a:pPr algn="l"/>
          <a:endParaRPr lang="en-US" sz="900" b="0"/>
        </a:p>
        <a:p>
          <a:pPr algn="l"/>
          <a:r>
            <a:rPr lang="en-US" sz="900" b="0"/>
            <a:t>Helps determine high-demand cities for micro-fulfillment centers and local warehouse expansion. Use for geo-targeted marketing.</a:t>
          </a:r>
        </a:p>
        <a:p>
          <a:pPr algn="l"/>
          <a:endParaRPr lang="en-US" sz="900" b="0"/>
        </a:p>
        <a:p>
          <a:pPr algn="l"/>
          <a:r>
            <a:rPr lang="en-US" sz="900" b="0"/>
            <a:t>Recognize VIP customers for loyalty programs, early product access, and personalized offers to boost retention.</a:t>
          </a:r>
        </a:p>
        <a:p>
          <a:pPr algn="l"/>
          <a:endParaRPr lang="en-US" sz="900" b="0"/>
        </a:p>
        <a:p>
          <a:pPr algn="l"/>
          <a:r>
            <a:rPr lang="en-US" sz="900" b="0"/>
            <a:t>Reward top performers to replicate best practices. Identify coaching opportunities for lower-tier performers.</a:t>
          </a:r>
        </a:p>
        <a:p>
          <a:pPr algn="l"/>
          <a:endParaRPr lang="en-US" sz="900" b="0"/>
        </a:p>
        <a:p>
          <a:pPr algn="l"/>
          <a:r>
            <a:rPr lang="en-US" sz="900" b="0"/>
            <a:t>Target high-frequency addresses with exclusive offers or loyalty perks. Consider subscription models for highly active customers.</a:t>
          </a:r>
        </a:p>
        <a:p>
          <a:pPr algn="l"/>
          <a:endParaRPr lang="en-US" sz="900" b="0"/>
        </a:p>
        <a:p>
          <a:pPr algn="l"/>
          <a:r>
            <a:rPr lang="en-US" sz="900" b="0"/>
            <a:t>Prioritize these products for digital ads, homepage features, and bundle deals. Evaluate which categories they dominate.</a:t>
          </a:r>
        </a:p>
        <a:p>
          <a:pPr algn="l"/>
          <a:endParaRPr lang="en-US" sz="900" b="0"/>
        </a:p>
        <a:p>
          <a:pPr algn="l"/>
          <a:r>
            <a:rPr lang="en-US" sz="900" b="0"/>
            <a:t>Identify top and bottom categories to rebalance stock and budget allocations. Launch more SKUs in top categories.</a:t>
          </a:r>
        </a:p>
        <a:p>
          <a:pPr algn="l"/>
          <a:endParaRPr lang="en-US" sz="900" b="0"/>
        </a:p>
        <a:p>
          <a:pPr algn="l"/>
          <a:endParaRPr lang="en-US" sz="800" b="0"/>
        </a:p>
      </xdr:txBody>
    </xdr:sp>
    <xdr:clientData/>
  </xdr:twoCellAnchor>
  <xdr:twoCellAnchor>
    <xdr:from>
      <xdr:col>0</xdr:col>
      <xdr:colOff>183615</xdr:colOff>
      <xdr:row>38</xdr:row>
      <xdr:rowOff>99907</xdr:rowOff>
    </xdr:from>
    <xdr:to>
      <xdr:col>11</xdr:col>
      <xdr:colOff>4059</xdr:colOff>
      <xdr:row>69</xdr:row>
      <xdr:rowOff>13804</xdr:rowOff>
    </xdr:to>
    <xdr:sp macro="" textlink="">
      <xdr:nvSpPr>
        <xdr:cNvPr id="5" name="Rectangle: Rounded Corners 4">
          <a:extLst>
            <a:ext uri="{FF2B5EF4-FFF2-40B4-BE49-F238E27FC236}">
              <a16:creationId xmlns:a16="http://schemas.microsoft.com/office/drawing/2014/main" id="{B02B4D9B-4E83-473D-BA6D-BA8E5D3AA6D8}"/>
            </a:ext>
          </a:extLst>
        </xdr:cNvPr>
        <xdr:cNvSpPr/>
      </xdr:nvSpPr>
      <xdr:spPr>
        <a:xfrm>
          <a:off x="183615" y="7097607"/>
          <a:ext cx="6526044" cy="56225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5">
                  <a:lumMod val="75000"/>
                </a:schemeClr>
              </a:solidFill>
            </a:rPr>
            <a:t>POTENTIAL COLUMNS</a:t>
          </a:r>
        </a:p>
        <a:p>
          <a:pPr algn="ctr"/>
          <a:endParaRPr lang="en-US" sz="800" b="0">
            <a:solidFill>
              <a:schemeClr val="accent5">
                <a:lumMod val="75000"/>
              </a:schemeClr>
            </a:solidFill>
          </a:endParaRPr>
        </a:p>
        <a:p>
          <a:pPr algn="l"/>
          <a:r>
            <a:rPr lang="en-US" sz="900" b="0">
              <a:solidFill>
                <a:schemeClr val="accent5">
                  <a:lumMod val="75000"/>
                </a:schemeClr>
              </a:solidFill>
            </a:rPr>
            <a:t>1. PROFIT</a:t>
          </a:r>
        </a:p>
        <a:p>
          <a:pPr algn="l"/>
          <a:r>
            <a:rPr lang="en-US" sz="900" b="0">
              <a:solidFill>
                <a:schemeClr val="accent5">
                  <a:lumMod val="75000"/>
                </a:schemeClr>
              </a:solidFill>
            </a:rPr>
            <a:t>2. SHIPPING FEE</a:t>
          </a:r>
        </a:p>
        <a:p>
          <a:pPr algn="l"/>
          <a:r>
            <a:rPr lang="en-US" sz="900" b="0">
              <a:solidFill>
                <a:schemeClr val="accent5">
                  <a:lumMod val="75000"/>
                </a:schemeClr>
              </a:solidFill>
            </a:rPr>
            <a:t>3. DELIVERY DURATION</a:t>
          </a:r>
          <a:endParaRPr lang="en-US" sz="800" b="0">
            <a:solidFill>
              <a:schemeClr val="accent5">
                <a:lumMod val="75000"/>
              </a:schemeClr>
            </a:solidFill>
          </a:endParaRPr>
        </a:p>
        <a:p>
          <a:pPr algn="ctr"/>
          <a:endParaRPr lang="en-US" sz="800" b="0">
            <a:solidFill>
              <a:schemeClr val="accent5">
                <a:lumMod val="75000"/>
              </a:schemeClr>
            </a:solidFill>
          </a:endParaRPr>
        </a:p>
        <a:p>
          <a:pPr algn="ctr"/>
          <a:r>
            <a:rPr lang="en-US" sz="1000" b="1">
              <a:solidFill>
                <a:schemeClr val="accent5">
                  <a:lumMod val="75000"/>
                </a:schemeClr>
              </a:solidFill>
            </a:rPr>
            <a:t>INDUSTRY TYPE</a:t>
          </a:r>
        </a:p>
        <a:p>
          <a:pPr algn="ctr"/>
          <a:endParaRPr lang="en-US" sz="800" b="0">
            <a:solidFill>
              <a:schemeClr val="accent5">
                <a:lumMod val="75000"/>
              </a:schemeClr>
            </a:solidFill>
          </a:endParaRPr>
        </a:p>
        <a:p>
          <a:pPr algn="ctr"/>
          <a:endParaRPr lang="en-US" sz="800" b="0">
            <a:solidFill>
              <a:schemeClr val="accent5">
                <a:lumMod val="75000"/>
              </a:schemeClr>
            </a:solidFill>
          </a:endParaRPr>
        </a:p>
        <a:p>
          <a:pPr algn="l"/>
          <a:r>
            <a:rPr lang="en-US" sz="800" b="0">
              <a:solidFill>
                <a:schemeClr val="accent5">
                  <a:lumMod val="75000"/>
                </a:schemeClr>
              </a:solidFill>
            </a:rPr>
            <a:t>GROCERY STORE</a:t>
          </a:r>
          <a:r>
            <a:rPr lang="en-US" sz="800" b="0" baseline="0">
              <a:solidFill>
                <a:schemeClr val="accent5">
                  <a:lumMod val="75000"/>
                </a:schemeClr>
              </a:solidFill>
            </a:rPr>
            <a:t> </a:t>
          </a:r>
          <a:r>
            <a:rPr lang="en-US" sz="800" b="0">
              <a:solidFill>
                <a:schemeClr val="accent5">
                  <a:lumMod val="75000"/>
                </a:schemeClr>
              </a:solidFill>
            </a:rPr>
            <a:t> REVENUE ,E-COMMERCE,</a:t>
          </a:r>
          <a:r>
            <a:rPr lang="en-US" sz="800" b="0" baseline="0">
              <a:solidFill>
                <a:schemeClr val="accent5">
                  <a:lumMod val="75000"/>
                </a:schemeClr>
              </a:solidFill>
            </a:rPr>
            <a:t> WHOLE SALES AND DSTRIBUTION</a:t>
          </a:r>
          <a:endParaRPr lang="en-US" sz="800" b="0">
            <a:solidFill>
              <a:schemeClr val="accent5">
                <a:lumMod val="75000"/>
              </a:schemeClr>
            </a:solidFill>
          </a:endParaRPr>
        </a:p>
        <a:p>
          <a:pPr algn="ctr"/>
          <a:endParaRPr lang="en-US" sz="800" b="0">
            <a:solidFill>
              <a:schemeClr val="accent5">
                <a:lumMod val="75000"/>
              </a:schemeClr>
            </a:solidFill>
          </a:endParaRPr>
        </a:p>
        <a:p>
          <a:pPr algn="ctr"/>
          <a:endParaRPr lang="en-US" sz="800" b="0">
            <a:solidFill>
              <a:schemeClr val="accent5">
                <a:lumMod val="75000"/>
              </a:schemeClr>
            </a:solidFill>
          </a:endParaRPr>
        </a:p>
        <a:p>
          <a:pPr algn="ctr"/>
          <a:r>
            <a:rPr lang="en-US" sz="1000" b="1">
              <a:solidFill>
                <a:schemeClr val="accent5">
                  <a:lumMod val="75000"/>
                </a:schemeClr>
              </a:solidFill>
            </a:rPr>
            <a:t>STORY OF DATA</a:t>
          </a:r>
        </a:p>
        <a:p>
          <a:pPr algn="l"/>
          <a:r>
            <a:rPr lang="en-US" sz="1000" b="0">
              <a:solidFill>
                <a:schemeClr val="accent5">
                  <a:lumMod val="75000"/>
                </a:schemeClr>
              </a:solidFill>
            </a:rPr>
            <a:t>where our shipping costs are going, and how our pricing affects overall sales. By looking at how much we spend delivering to different customer addresses, we can figure out which areas are more expensive to serve and whether those costs are worth it. At the same time, analyzing product prices alongside the revenue they generate tells us whether customers are buying more high-priced items or just a lot of cheaper ones. Together, these insights will help us make smarter decisions about pricing, logistics, and how to serve our customers more efficiently while keeping costs in check.</a:t>
          </a:r>
        </a:p>
        <a:p>
          <a:pPr algn="l"/>
          <a:endParaRPr lang="en-US" sz="1000" b="0">
            <a:solidFill>
              <a:schemeClr val="accent5">
                <a:lumMod val="75000"/>
              </a:schemeClr>
            </a:solidFill>
          </a:endParaRPr>
        </a:p>
        <a:p>
          <a:pPr algn="ctr"/>
          <a:r>
            <a:rPr lang="en-US" sz="1000" b="1">
              <a:solidFill>
                <a:schemeClr val="accent5">
                  <a:lumMod val="75000"/>
                </a:schemeClr>
              </a:solidFill>
            </a:rPr>
            <a:t>STAKE HOLDERS OF PROJECT</a:t>
          </a:r>
        </a:p>
        <a:p>
          <a:pPr algn="l"/>
          <a:r>
            <a:rPr lang="en-US" sz="1000" b="0">
              <a:solidFill>
                <a:schemeClr val="accent5">
                  <a:lumMod val="75000"/>
                </a:schemeClr>
              </a:solidFill>
            </a:rPr>
            <a:t>1. Product Managers </a:t>
          </a:r>
        </a:p>
        <a:p>
          <a:pPr algn="l"/>
          <a:r>
            <a:rPr lang="en-US" sz="1000" b="0">
              <a:solidFill>
                <a:schemeClr val="accent5">
                  <a:lumMod val="75000"/>
                </a:schemeClr>
              </a:solidFill>
            </a:rPr>
            <a:t>2. Sales &amp; Revenue Analysts</a:t>
          </a:r>
        </a:p>
        <a:p>
          <a:pPr algn="l"/>
          <a:r>
            <a:rPr lang="en-US" sz="1000" b="0">
              <a:solidFill>
                <a:schemeClr val="accent5">
                  <a:lumMod val="75000"/>
                </a:schemeClr>
              </a:solidFill>
            </a:rPr>
            <a:t>3. Marketing Team</a:t>
          </a:r>
        </a:p>
        <a:p>
          <a:pPr algn="l"/>
          <a:endParaRPr lang="en-US" sz="1000" b="0">
            <a:solidFill>
              <a:schemeClr val="accent5">
                <a:lumMod val="75000"/>
              </a:schemeClr>
            </a:solidFill>
          </a:endParaRPr>
        </a:p>
        <a:p>
          <a:pPr algn="ctr"/>
          <a:r>
            <a:rPr lang="en-US" sz="1000" b="1">
              <a:solidFill>
                <a:schemeClr val="accent5">
                  <a:lumMod val="75000"/>
                </a:schemeClr>
              </a:solidFill>
            </a:rPr>
            <a:t>WHAT SUCCES MEANS TO THE INDUSTRY</a:t>
          </a:r>
        </a:p>
        <a:p>
          <a:pPr algn="l"/>
          <a:r>
            <a:rPr lang="en-US" sz="1000" b="0">
              <a:solidFill>
                <a:schemeClr val="accent5">
                  <a:lumMod val="75000"/>
                </a:schemeClr>
              </a:solidFill>
            </a:rPr>
            <a:t>Growing revenue while keeping operations smooth and customers satisfied.</a:t>
          </a:r>
        </a:p>
        <a:p>
          <a:pPr algn="l"/>
          <a:endParaRPr lang="en-US" sz="800" b="0">
            <a:solidFill>
              <a:schemeClr val="accent5">
                <a:lumMod val="7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508000</xdr:colOff>
      <xdr:row>8</xdr:row>
      <xdr:rowOff>120650</xdr:rowOff>
    </xdr:from>
    <xdr:to>
      <xdr:col>7</xdr:col>
      <xdr:colOff>152400</xdr:colOff>
      <xdr:row>18</xdr:row>
      <xdr:rowOff>57150</xdr:rowOff>
    </xdr:to>
    <xdr:graphicFrame macro="">
      <xdr:nvGraphicFramePr>
        <xdr:cNvPr id="2" name="Chart 1">
          <a:extLst>
            <a:ext uri="{FF2B5EF4-FFF2-40B4-BE49-F238E27FC236}">
              <a16:creationId xmlns:a16="http://schemas.microsoft.com/office/drawing/2014/main" id="{190BAF85-5C26-6C2F-30EC-9ADDE0C66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107950</xdr:colOff>
      <xdr:row>1</xdr:row>
      <xdr:rowOff>85725</xdr:rowOff>
    </xdr:from>
    <xdr:to>
      <xdr:col>10</xdr:col>
      <xdr:colOff>412750</xdr:colOff>
      <xdr:row>16</xdr:row>
      <xdr:rowOff>66675</xdr:rowOff>
    </xdr:to>
    <xdr:graphicFrame macro="">
      <xdr:nvGraphicFramePr>
        <xdr:cNvPr id="2" name="Chart 1">
          <a:extLst>
            <a:ext uri="{FF2B5EF4-FFF2-40B4-BE49-F238E27FC236}">
              <a16:creationId xmlns:a16="http://schemas.microsoft.com/office/drawing/2014/main" id="{CE70324A-FC85-9BC1-5E2E-C135EBD15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565150</xdr:colOff>
      <xdr:row>8</xdr:row>
      <xdr:rowOff>88899</xdr:rowOff>
    </xdr:from>
    <xdr:to>
      <xdr:col>6</xdr:col>
      <xdr:colOff>552450</xdr:colOff>
      <xdr:row>19</xdr:row>
      <xdr:rowOff>85724</xdr:rowOff>
    </xdr:to>
    <xdr:graphicFrame macro="">
      <xdr:nvGraphicFramePr>
        <xdr:cNvPr id="2" name="Chart 1">
          <a:extLst>
            <a:ext uri="{FF2B5EF4-FFF2-40B4-BE49-F238E27FC236}">
              <a16:creationId xmlns:a16="http://schemas.microsoft.com/office/drawing/2014/main" id="{4323D21D-1585-28CB-68FE-551ADEFFE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2</xdr:row>
      <xdr:rowOff>165100</xdr:rowOff>
    </xdr:from>
    <xdr:to>
      <xdr:col>13</xdr:col>
      <xdr:colOff>101600</xdr:colOff>
      <xdr:row>13</xdr:row>
      <xdr:rowOff>161925</xdr:rowOff>
    </xdr:to>
    <xdr:graphicFrame macro="">
      <xdr:nvGraphicFramePr>
        <xdr:cNvPr id="3" name="Chart 2">
          <a:extLst>
            <a:ext uri="{FF2B5EF4-FFF2-40B4-BE49-F238E27FC236}">
              <a16:creationId xmlns:a16="http://schemas.microsoft.com/office/drawing/2014/main" id="{67C059ED-DC0C-4BE9-949C-5C4533948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171450</xdr:colOff>
      <xdr:row>2</xdr:row>
      <xdr:rowOff>44451</xdr:rowOff>
    </xdr:from>
    <xdr:to>
      <xdr:col>14</xdr:col>
      <xdr:colOff>63500</xdr:colOff>
      <xdr:row>16</xdr:row>
      <xdr:rowOff>38100</xdr:rowOff>
    </xdr:to>
    <xdr:graphicFrame macro="">
      <xdr:nvGraphicFramePr>
        <xdr:cNvPr id="2" name="Chart 1">
          <a:extLst>
            <a:ext uri="{FF2B5EF4-FFF2-40B4-BE49-F238E27FC236}">
              <a16:creationId xmlns:a16="http://schemas.microsoft.com/office/drawing/2014/main" id="{6D400F01-267F-FA08-06F1-76101F5E1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142874</xdr:colOff>
      <xdr:row>6</xdr:row>
      <xdr:rowOff>127000</xdr:rowOff>
    </xdr:from>
    <xdr:to>
      <xdr:col>7</xdr:col>
      <xdr:colOff>355600</xdr:colOff>
      <xdr:row>12</xdr:row>
      <xdr:rowOff>146050</xdr:rowOff>
    </xdr:to>
    <xdr:graphicFrame macro="">
      <xdr:nvGraphicFramePr>
        <xdr:cNvPr id="3" name="Chart 2">
          <a:extLst>
            <a:ext uri="{FF2B5EF4-FFF2-40B4-BE49-F238E27FC236}">
              <a16:creationId xmlns:a16="http://schemas.microsoft.com/office/drawing/2014/main" id="{CE8ED677-D377-E913-0D8C-22696CE9B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358588</xdr:colOff>
      <xdr:row>3</xdr:row>
      <xdr:rowOff>179294</xdr:rowOff>
    </xdr:from>
    <xdr:to>
      <xdr:col>13</xdr:col>
      <xdr:colOff>469526</xdr:colOff>
      <xdr:row>21</xdr:row>
      <xdr:rowOff>134470</xdr:rowOff>
    </xdr:to>
    <xdr:graphicFrame macro="">
      <xdr:nvGraphicFramePr>
        <xdr:cNvPr id="2" name="Chart 1">
          <a:extLst>
            <a:ext uri="{FF2B5EF4-FFF2-40B4-BE49-F238E27FC236}">
              <a16:creationId xmlns:a16="http://schemas.microsoft.com/office/drawing/2014/main" id="{55EB4E34-EE39-4973-834B-A95EA109E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358588</xdr:colOff>
      <xdr:row>3</xdr:row>
      <xdr:rowOff>179294</xdr:rowOff>
    </xdr:from>
    <xdr:to>
      <xdr:col>13</xdr:col>
      <xdr:colOff>469526</xdr:colOff>
      <xdr:row>21</xdr:row>
      <xdr:rowOff>134470</xdr:rowOff>
    </xdr:to>
    <xdr:graphicFrame macro="">
      <xdr:nvGraphicFramePr>
        <xdr:cNvPr id="2" name="Chart 1">
          <a:extLst>
            <a:ext uri="{FF2B5EF4-FFF2-40B4-BE49-F238E27FC236}">
              <a16:creationId xmlns:a16="http://schemas.microsoft.com/office/drawing/2014/main" id="{F75CE825-E6FE-41EA-8114-7203578EF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358588</xdr:colOff>
      <xdr:row>3</xdr:row>
      <xdr:rowOff>179294</xdr:rowOff>
    </xdr:from>
    <xdr:to>
      <xdr:col>13</xdr:col>
      <xdr:colOff>469526</xdr:colOff>
      <xdr:row>21</xdr:row>
      <xdr:rowOff>134470</xdr:rowOff>
    </xdr:to>
    <xdr:graphicFrame macro="">
      <xdr:nvGraphicFramePr>
        <xdr:cNvPr id="2" name="Chart 1">
          <a:extLst>
            <a:ext uri="{FF2B5EF4-FFF2-40B4-BE49-F238E27FC236}">
              <a16:creationId xmlns:a16="http://schemas.microsoft.com/office/drawing/2014/main" id="{DA6BDFA9-B87D-4875-ACD7-F48CA186E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432759</xdr:colOff>
      <xdr:row>1</xdr:row>
      <xdr:rowOff>76554</xdr:rowOff>
    </xdr:from>
    <xdr:to>
      <xdr:col>13</xdr:col>
      <xdr:colOff>61684</xdr:colOff>
      <xdr:row>29</xdr:row>
      <xdr:rowOff>22679</xdr:rowOff>
    </xdr:to>
    <xdr:sp macro="" textlink="">
      <xdr:nvSpPr>
        <xdr:cNvPr id="3" name="Rectangle: Rounded Corners 2">
          <a:extLst>
            <a:ext uri="{FF2B5EF4-FFF2-40B4-BE49-F238E27FC236}">
              <a16:creationId xmlns:a16="http://schemas.microsoft.com/office/drawing/2014/main" id="{A28DE71D-CC22-6234-1119-4760E8A76A5D}"/>
            </a:ext>
          </a:extLst>
        </xdr:cNvPr>
        <xdr:cNvSpPr/>
      </xdr:nvSpPr>
      <xdr:spPr>
        <a:xfrm>
          <a:off x="432759" y="264168"/>
          <a:ext cx="7508698" cy="51993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5">
                  <a:lumMod val="50000"/>
                </a:schemeClr>
              </a:solidFill>
            </a:rPr>
            <a:t>Analysis</a:t>
          </a:r>
          <a:r>
            <a:rPr lang="en-US" sz="1800" b="0" baseline="0">
              <a:solidFill>
                <a:schemeClr val="accent5">
                  <a:lumMod val="50000"/>
                </a:schemeClr>
              </a:solidFill>
            </a:rPr>
            <a:t> :Sales by rep</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Observation </a:t>
          </a:r>
          <a:endParaRPr lang="en-US" sz="1800" b="1">
            <a:solidFill>
              <a:schemeClr val="accent5">
                <a:lumMod val="50000"/>
              </a:schemeClr>
            </a:solidFill>
          </a:endParaRPr>
        </a:p>
        <a:p>
          <a:pPr algn="l"/>
          <a:r>
            <a:rPr lang="en-US" sz="1800" b="0" baseline="0">
              <a:solidFill>
                <a:schemeClr val="accent5">
                  <a:lumMod val="50000"/>
                </a:schemeClr>
              </a:solidFill>
            </a:rPr>
            <a:t>Nancy Freehafer appers to be the top performing sales rep for the year, she generated a total of $104,252.34</a:t>
          </a:r>
        </a:p>
        <a:p>
          <a:pPr algn="l"/>
          <a:r>
            <a:rPr lang="en-US" sz="1800" b="0" baseline="0">
              <a:solidFill>
                <a:schemeClr val="accent5">
                  <a:lumMod val="50000"/>
                </a:schemeClr>
              </a:solidFill>
            </a:rPr>
            <a:t>JAan Kotas appers to be the lest performing sales rep ,he generated a total of $16,350.50 for the year.</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Pre- Insights</a:t>
          </a:r>
        </a:p>
        <a:p>
          <a:pPr algn="l"/>
          <a:r>
            <a:rPr lang="en-US" sz="1800" b="0" baseline="0">
              <a:solidFill>
                <a:schemeClr val="accent5">
                  <a:lumMod val="50000"/>
                </a:schemeClr>
              </a:solidFill>
            </a:rPr>
            <a:t>Jan can be recommended to be suspended as he generated the least revenue and is under performing causing the company a loss.</a:t>
          </a:r>
        </a:p>
        <a:p>
          <a:pPr algn="l"/>
          <a:r>
            <a:rPr lang="en-US" sz="1800" b="0" baseline="0">
              <a:solidFill>
                <a:schemeClr val="accent5">
                  <a:lumMod val="50000"/>
                </a:schemeClr>
              </a:solidFill>
            </a:rPr>
            <a:t>the company can sponsor jan to take mmarketing coursess to mprove he's skills.</a:t>
          </a:r>
        </a:p>
        <a:p>
          <a:pPr algn="l"/>
          <a:r>
            <a:rPr lang="en-US" sz="1800" b="0" baseline="0">
              <a:solidFill>
                <a:schemeClr val="accent5">
                  <a:lumMod val="50000"/>
                </a:schemeClr>
              </a:solidFill>
            </a:rPr>
            <a:t>oher sales reps can be incenived withbonus to increse the number of revenue generated.</a:t>
          </a:r>
        </a:p>
        <a:p>
          <a:pPr algn="l"/>
          <a:endParaRPr lang="en-US" sz="1800" b="0" baseline="0">
            <a:solidFill>
              <a:sysClr val="windowText" lastClr="000000"/>
            </a:solidFill>
          </a:endParaRPr>
        </a:p>
      </xdr:txBody>
    </xdr:sp>
    <xdr:clientData/>
  </xdr:twoCellAnchor>
  <xdr:twoCellAnchor>
    <xdr:from>
      <xdr:col>15</xdr:col>
      <xdr:colOff>18194</xdr:colOff>
      <xdr:row>0</xdr:row>
      <xdr:rowOff>0</xdr:rowOff>
    </xdr:from>
    <xdr:to>
      <xdr:col>27</xdr:col>
      <xdr:colOff>253255</xdr:colOff>
      <xdr:row>29</xdr:row>
      <xdr:rowOff>94732</xdr:rowOff>
    </xdr:to>
    <xdr:sp macro="" textlink="">
      <xdr:nvSpPr>
        <xdr:cNvPr id="9" name="Rectangle: Rounded Corners 8">
          <a:extLst>
            <a:ext uri="{FF2B5EF4-FFF2-40B4-BE49-F238E27FC236}">
              <a16:creationId xmlns:a16="http://schemas.microsoft.com/office/drawing/2014/main" id="{250DD4A1-0B67-A4FE-5D89-1380F220D40A}"/>
            </a:ext>
          </a:extLst>
        </xdr:cNvPr>
        <xdr:cNvSpPr/>
      </xdr:nvSpPr>
      <xdr:spPr>
        <a:xfrm>
          <a:off x="9110239" y="0"/>
          <a:ext cx="7508698" cy="553552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a:solidFill>
                <a:schemeClr val="bg1"/>
              </a:solidFill>
            </a:rPr>
            <a:t>Analysis</a:t>
          </a:r>
          <a:r>
            <a:rPr lang="en-US" sz="1800" b="0" baseline="0">
              <a:solidFill>
                <a:schemeClr val="bg1"/>
              </a:solidFill>
            </a:rPr>
            <a:t> :Sales by Region</a:t>
          </a:r>
        </a:p>
        <a:p>
          <a:pPr algn="l"/>
          <a:endParaRPr lang="en-US" sz="1800" b="0" baseline="0">
            <a:solidFill>
              <a:schemeClr val="bg1"/>
            </a:solidFill>
          </a:endParaRPr>
        </a:p>
        <a:p>
          <a:pPr algn="l"/>
          <a:r>
            <a:rPr lang="en-US" sz="1800" b="0" baseline="0">
              <a:solidFill>
                <a:schemeClr val="bg1"/>
              </a:solidFill>
            </a:rPr>
            <a:t>Observations</a:t>
          </a:r>
          <a:endParaRPr lang="en-US" sz="1800">
            <a:solidFill>
              <a:schemeClr val="bg1"/>
            </a:solidFill>
          </a:endParaRPr>
        </a:p>
        <a:p>
          <a:pPr algn="l"/>
          <a:r>
            <a:rPr lang="en-US" sz="1800" b="0" baseline="0">
              <a:solidFill>
                <a:schemeClr val="bg1"/>
              </a:solidFill>
            </a:rPr>
            <a:t>The northen region generated the highest revenue; $141,680.34</a:t>
          </a:r>
        </a:p>
        <a:p>
          <a:pPr algn="l"/>
          <a:r>
            <a:rPr lang="en-US" sz="1800" b="0" baseline="0">
              <a:solidFill>
                <a:schemeClr val="bg1"/>
              </a:solidFill>
            </a:rPr>
            <a:t>tthe western region generated the lowest revenue fkr the year ; $91,251.98</a:t>
          </a:r>
        </a:p>
        <a:p>
          <a:pPr algn="l"/>
          <a:endParaRPr lang="en-US" sz="1800" b="0" baseline="0">
            <a:solidFill>
              <a:schemeClr val="bg1"/>
            </a:solidFill>
          </a:endParaRPr>
        </a:p>
        <a:p>
          <a:pPr algn="l"/>
          <a:r>
            <a:rPr lang="en-US" sz="1800" b="0" baseline="0">
              <a:solidFill>
                <a:schemeClr val="bg1"/>
              </a:solidFill>
            </a:rPr>
            <a:t>Pre- Insights</a:t>
          </a:r>
        </a:p>
        <a:p>
          <a:pPr algn="l"/>
          <a:r>
            <a:rPr lang="en-US" sz="1800" b="0" baseline="0">
              <a:solidFill>
                <a:schemeClr val="bg1"/>
              </a:solidFill>
            </a:rPr>
            <a:t>The methods used in the north can be documented and sent to the west for implementation to increase revenue generation.</a:t>
          </a:r>
        </a:p>
        <a:p>
          <a:pPr algn="l"/>
          <a:r>
            <a:rPr lang="en-US" sz="1800" b="0" baseline="0">
              <a:solidFill>
                <a:schemeClr val="bg1"/>
              </a:solidFill>
            </a:rPr>
            <a:t>The regions can be incentivused with bomuses to increne revenue generation.</a:t>
          </a:r>
        </a:p>
        <a:p>
          <a:pPr algn="l"/>
          <a:r>
            <a:rPr lang="en-US" sz="1800" b="0" baseline="0">
              <a:solidFill>
                <a:schemeClr val="bg1"/>
              </a:solidFill>
            </a:rPr>
            <a:t>The top performn sales person in the north can be transered to the west.</a:t>
          </a:r>
        </a:p>
        <a:p>
          <a:pPr algn="l"/>
          <a:r>
            <a:rPr lang="en-US" sz="1800" b="0" baseline="0">
              <a:solidFill>
                <a:schemeClr val="bg1"/>
              </a:solidFill>
            </a:rPr>
            <a:t>The Western region may require a different product mix or localized. Marketing strategies due to distinct customer behavior.</a:t>
          </a:r>
        </a:p>
        <a:p>
          <a:pPr algn="l"/>
          <a:r>
            <a:rPr lang="en-US" sz="1800" b="0" baseline="0">
              <a:solidFill>
                <a:schemeClr val="bg1"/>
              </a:solidFill>
            </a:rPr>
            <a:t>Marketing resources should be directed toward high-performing regions  to maximize ROI .</a:t>
          </a:r>
        </a:p>
      </xdr:txBody>
    </xdr:sp>
    <xdr:clientData/>
  </xdr:twoCellAnchor>
  <xdr:twoCellAnchor>
    <xdr:from>
      <xdr:col>0</xdr:col>
      <xdr:colOff>584995</xdr:colOff>
      <xdr:row>31</xdr:row>
      <xdr:rowOff>78284</xdr:rowOff>
    </xdr:from>
    <xdr:to>
      <xdr:col>13</xdr:col>
      <xdr:colOff>220105</xdr:colOff>
      <xdr:row>59</xdr:row>
      <xdr:rowOff>24409</xdr:rowOff>
    </xdr:to>
    <xdr:sp macro="" textlink="">
      <xdr:nvSpPr>
        <xdr:cNvPr id="11" name="Rectangle: Rounded Corners 10">
          <a:extLst>
            <a:ext uri="{FF2B5EF4-FFF2-40B4-BE49-F238E27FC236}">
              <a16:creationId xmlns:a16="http://schemas.microsoft.com/office/drawing/2014/main" id="{FA97D613-2D30-6128-4014-CC0557506C9A}"/>
            </a:ext>
          </a:extLst>
        </xdr:cNvPr>
        <xdr:cNvSpPr/>
      </xdr:nvSpPr>
      <xdr:spPr>
        <a:xfrm>
          <a:off x="584995" y="5894307"/>
          <a:ext cx="7514883" cy="519930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Analysis</a:t>
          </a:r>
          <a:r>
            <a:rPr lang="en-US" sz="1800" b="0" baseline="0">
              <a:solidFill>
                <a:schemeClr val="bg1"/>
              </a:solidFill>
            </a:rPr>
            <a:t> :Sales by Region</a:t>
          </a:r>
        </a:p>
        <a:p>
          <a:pPr algn="l"/>
          <a:endParaRPr lang="en-US" sz="1800" b="0" baseline="0">
            <a:solidFill>
              <a:schemeClr val="bg1"/>
            </a:solidFill>
          </a:endParaRPr>
        </a:p>
        <a:p>
          <a:pPr algn="l"/>
          <a:r>
            <a:rPr lang="en-US" sz="1800" b="1" baseline="0">
              <a:solidFill>
                <a:schemeClr val="bg1"/>
              </a:solidFill>
            </a:rPr>
            <a:t>Observation </a:t>
          </a:r>
        </a:p>
        <a:p>
          <a:pPr algn="l"/>
          <a:r>
            <a:rPr lang="en-US" sz="1800" b="0" baseline="0">
              <a:solidFill>
                <a:schemeClr val="bg1"/>
              </a:solidFill>
            </a:rPr>
            <a:t>The top Ten Customers by Revenue in decreasing order are  customer D, customer H, customer BB, customer F, customer A, customer I, customer J, customer Z, customer C, customer K.</a:t>
          </a:r>
        </a:p>
        <a:p>
          <a:pPr algn="l"/>
          <a:endParaRPr lang="en-US" sz="1800" b="0" baseline="0">
            <a:solidFill>
              <a:schemeClr val="bg1"/>
            </a:solidFill>
          </a:endParaRPr>
        </a:p>
        <a:p>
          <a:pPr algn="l"/>
          <a:r>
            <a:rPr lang="en-US" sz="1800" b="1" baseline="0">
              <a:solidFill>
                <a:schemeClr val="bg1"/>
              </a:solidFill>
            </a:rPr>
            <a:t>Pre- Insights</a:t>
          </a:r>
        </a:p>
        <a:p>
          <a:pPr algn="l"/>
          <a:r>
            <a:rPr lang="en-US" sz="1800" b="0" baseline="0">
              <a:solidFill>
                <a:schemeClr val="bg1"/>
              </a:solidFill>
            </a:rPr>
            <a:t>Top customers are primarily buying Product A and introducing Product B or premium services could increase buying potential.</a:t>
          </a:r>
        </a:p>
        <a:p>
          <a:pPr algn="l"/>
          <a:r>
            <a:rPr lang="en-US" sz="1800" b="0" baseline="0">
              <a:solidFill>
                <a:schemeClr val="bg1"/>
              </a:solidFill>
            </a:rPr>
            <a:t>High-value customers can be engaged in referral or advocacy programs to attract similar high-yield customers.</a:t>
          </a:r>
        </a:p>
        <a:p>
          <a:pPr algn="l"/>
          <a:r>
            <a:rPr lang="en-US" sz="1800" b="0" baseline="0">
              <a:solidFill>
                <a:schemeClr val="bg1"/>
              </a:solidFill>
            </a:rPr>
            <a:t>The sales strategies that landed or retained top customers should be documented and scaled for mid-tier customers.</a:t>
          </a:r>
        </a:p>
        <a:p>
          <a:pPr algn="l"/>
          <a:r>
            <a:rPr lang="en-US" sz="1800" b="0" baseline="0">
              <a:solidFill>
                <a:schemeClr val="bg1"/>
              </a:solidFill>
            </a:rPr>
            <a:t>Products bought more by top performing cutomers can be pitched/ marketed to other customers.</a:t>
          </a:r>
        </a:p>
      </xdr:txBody>
    </xdr:sp>
    <xdr:clientData/>
  </xdr:twoCellAnchor>
  <xdr:twoCellAnchor>
    <xdr:from>
      <xdr:col>15</xdr:col>
      <xdr:colOff>123342</xdr:colOff>
      <xdr:row>31</xdr:row>
      <xdr:rowOff>99067</xdr:rowOff>
    </xdr:from>
    <xdr:to>
      <xdr:col>27</xdr:col>
      <xdr:colOff>358403</xdr:colOff>
      <xdr:row>59</xdr:row>
      <xdr:rowOff>45191</xdr:rowOff>
    </xdr:to>
    <xdr:sp macro="" textlink="">
      <xdr:nvSpPr>
        <xdr:cNvPr id="2" name="Rectangle: Rounded Corners 1">
          <a:extLst>
            <a:ext uri="{FF2B5EF4-FFF2-40B4-BE49-F238E27FC236}">
              <a16:creationId xmlns:a16="http://schemas.microsoft.com/office/drawing/2014/main" id="{6AC7CFBE-314A-272B-D39A-DEC9FC501474}"/>
            </a:ext>
          </a:extLst>
        </xdr:cNvPr>
        <xdr:cNvSpPr/>
      </xdr:nvSpPr>
      <xdr:spPr>
        <a:xfrm>
          <a:off x="9215387" y="5915090"/>
          <a:ext cx="7508698" cy="51993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5">
                  <a:lumMod val="50000"/>
                </a:schemeClr>
              </a:solidFill>
            </a:rPr>
            <a:t>Analysis</a:t>
          </a:r>
          <a:r>
            <a:rPr lang="en-US" sz="1800" b="0" baseline="0">
              <a:solidFill>
                <a:schemeClr val="accent5">
                  <a:lumMod val="50000"/>
                </a:schemeClr>
              </a:solidFill>
            </a:rPr>
            <a:t> :Sales Trend Report</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Observation </a:t>
          </a:r>
        </a:p>
        <a:p>
          <a:pPr algn="l"/>
          <a:r>
            <a:rPr lang="en-US" sz="1800" b="0" baseline="0">
              <a:solidFill>
                <a:schemeClr val="accent5">
                  <a:lumMod val="50000"/>
                </a:schemeClr>
              </a:solidFill>
            </a:rPr>
            <a:t>December peaked as the month with the highest revenue with 66</a:t>
          </a:r>
        </a:p>
        <a:p>
          <a:pPr algn="l"/>
          <a:r>
            <a:rPr lang="en-US" sz="1800" b="0" baseline="0">
              <a:solidFill>
                <a:schemeClr val="accent5">
                  <a:lumMod val="50000"/>
                </a:schemeClr>
              </a:solidFill>
            </a:rPr>
            <a:t>Febuary i the month with the lowest revenue with</a:t>
          </a:r>
        </a:p>
        <a:p>
          <a:pPr algn="l"/>
          <a:r>
            <a:rPr lang="en-US" sz="1800" b="0" baseline="0">
              <a:solidFill>
                <a:schemeClr val="accent5">
                  <a:lumMod val="50000"/>
                </a:schemeClr>
              </a:solidFill>
            </a:rPr>
            <a:t>it appears to be a sharp decline in revenue immediately after june</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Pre- Insights</a:t>
          </a:r>
        </a:p>
        <a:p>
          <a:pPr algn="l"/>
          <a:r>
            <a:rPr lang="en-US" sz="1800" b="0" baseline="0">
              <a:solidFill>
                <a:sysClr val="windowText" lastClr="000000"/>
              </a:solidFill>
            </a:rPr>
            <a:t>Consider aligning future capaigns around december</a:t>
          </a:r>
        </a:p>
        <a:p>
          <a:pPr algn="l"/>
          <a:r>
            <a:rPr lang="en-US" sz="1800" b="0" baseline="0">
              <a:solidFill>
                <a:sysClr val="windowText" lastClr="000000"/>
              </a:solidFill>
            </a:rPr>
            <a:t>launchine new year promos in january to boost sales</a:t>
          </a:r>
        </a:p>
        <a:p>
          <a:pPr algn="l"/>
          <a:r>
            <a:rPr lang="en-US" sz="1800" b="0" baseline="0">
              <a:solidFill>
                <a:sysClr val="windowText" lastClr="000000"/>
              </a:solidFill>
            </a:rPr>
            <a:t>optimize fulfillment and customer support ahead of time</a:t>
          </a:r>
        </a:p>
        <a:p>
          <a:pPr algn="l"/>
          <a:r>
            <a:rPr lang="en-US" sz="1800" b="0" baseline="0">
              <a:solidFill>
                <a:sysClr val="windowText" lastClr="000000"/>
              </a:solidFill>
            </a:rPr>
            <a:t>start seasonal promotions in late september to improve sales in octiber.</a:t>
          </a:r>
        </a:p>
        <a:p>
          <a:pPr algn="l"/>
          <a:endParaRPr lang="en-US" sz="1800" b="1" baseline="0">
            <a:solidFill>
              <a:schemeClr val="accent5">
                <a:lumMod val="50000"/>
              </a:schemeClr>
            </a:solidFill>
          </a:endParaRPr>
        </a:p>
      </xdr:txBody>
    </xdr:sp>
    <xdr:clientData/>
  </xdr:twoCellAnchor>
  <xdr:twoCellAnchor>
    <xdr:from>
      <xdr:col>28</xdr:col>
      <xdr:colOff>549781</xdr:colOff>
      <xdr:row>30</xdr:row>
      <xdr:rowOff>57502</xdr:rowOff>
    </xdr:from>
    <xdr:to>
      <xdr:col>41</xdr:col>
      <xdr:colOff>184891</xdr:colOff>
      <xdr:row>58</xdr:row>
      <xdr:rowOff>3627</xdr:rowOff>
    </xdr:to>
    <xdr:sp macro="" textlink="">
      <xdr:nvSpPr>
        <xdr:cNvPr id="4" name="Rectangle: Rounded Corners 3">
          <a:extLst>
            <a:ext uri="{FF2B5EF4-FFF2-40B4-BE49-F238E27FC236}">
              <a16:creationId xmlns:a16="http://schemas.microsoft.com/office/drawing/2014/main" id="{C668D790-C8E7-3C4D-3E21-2F4F61A1EF6B}"/>
            </a:ext>
          </a:extLst>
        </xdr:cNvPr>
        <xdr:cNvSpPr/>
      </xdr:nvSpPr>
      <xdr:spPr>
        <a:xfrm>
          <a:off x="17521599" y="5685911"/>
          <a:ext cx="7514883" cy="519930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Analysis</a:t>
          </a:r>
          <a:r>
            <a:rPr lang="en-US" sz="1800" b="0" baseline="0">
              <a:solidFill>
                <a:schemeClr val="bg1"/>
              </a:solidFill>
            </a:rPr>
            <a:t> : </a:t>
          </a:r>
          <a:r>
            <a:rPr lang="en-US" sz="1800" b="0" i="0" u="none" strike="noStrike">
              <a:solidFill>
                <a:schemeClr val="lt1"/>
              </a:solidFill>
              <a:effectLst/>
              <a:latin typeface="+mn-lt"/>
              <a:ea typeface="+mn-ea"/>
              <a:cs typeface="+mn-cs"/>
            </a:rPr>
            <a:t>Transaction by Amount</a:t>
          </a:r>
          <a:r>
            <a:rPr lang="en-US" sz="1400" b="0" i="0" u="none" strike="noStrike">
              <a:solidFill>
                <a:schemeClr val="lt1"/>
              </a:solidFill>
              <a:effectLst/>
              <a:latin typeface="+mn-lt"/>
              <a:ea typeface="+mn-ea"/>
              <a:cs typeface="+mn-cs"/>
            </a:rPr>
            <a:t>.</a:t>
          </a:r>
          <a:r>
            <a:rPr lang="en-US" sz="1400" b="0"/>
            <a:t> </a:t>
          </a:r>
          <a:endParaRPr lang="en-US" sz="1400" b="0" baseline="0">
            <a:solidFill>
              <a:schemeClr val="bg1"/>
            </a:solidFill>
          </a:endParaRPr>
        </a:p>
        <a:p>
          <a:pPr algn="l"/>
          <a:endParaRPr lang="en-US" sz="1800" b="0" baseline="0">
            <a:solidFill>
              <a:schemeClr val="bg1"/>
            </a:solidFill>
          </a:endParaRPr>
        </a:p>
        <a:p>
          <a:pPr algn="l"/>
          <a:r>
            <a:rPr lang="en-US" sz="1800" b="1" baseline="0">
              <a:solidFill>
                <a:schemeClr val="bg1"/>
              </a:solidFill>
            </a:rPr>
            <a:t>Observation </a:t>
          </a:r>
        </a:p>
        <a:p>
          <a:pPr algn="l"/>
          <a:r>
            <a:rPr lang="en-US" sz="1800" b="0" baseline="0">
              <a:solidFill>
                <a:schemeClr val="bg1"/>
              </a:solidFill>
            </a:rPr>
            <a:t>sals that geneated highest count of sales spans through sales between 0-1000</a:t>
          </a:r>
        </a:p>
        <a:p>
          <a:pPr algn="l"/>
          <a:endParaRPr lang="en-US" sz="1800" b="0" baseline="0">
            <a:solidFill>
              <a:schemeClr val="bg1"/>
            </a:solidFill>
          </a:endParaRPr>
        </a:p>
        <a:p>
          <a:pPr algn="l"/>
          <a:r>
            <a:rPr lang="en-US" sz="1800" b="1" baseline="0">
              <a:solidFill>
                <a:schemeClr val="bg1"/>
              </a:solidFill>
            </a:rPr>
            <a:t>Pre- Insights</a:t>
          </a:r>
        </a:p>
        <a:p>
          <a:pPr algn="l"/>
          <a:r>
            <a:rPr lang="en-US" sz="1800" b="0" baseline="0">
              <a:solidFill>
                <a:schemeClr val="bg1"/>
              </a:solidFill>
            </a:rPr>
            <a:t>Impliment strategic free be programmes to encourage customers to make purchases that could generated individual revenue spanning between 7000-1000</a:t>
          </a:r>
        </a:p>
        <a:p>
          <a:pPr algn="l"/>
          <a:r>
            <a:rPr lang="en-US" sz="1800" b="0" baseline="0">
              <a:solidFill>
                <a:schemeClr val="bg1"/>
              </a:solidFill>
            </a:rPr>
            <a:t>New products that are purchased more should be stocked to enocourage more sales.</a:t>
          </a:r>
        </a:p>
        <a:p>
          <a:pPr algn="l"/>
          <a:r>
            <a:rPr lang="en-US" sz="1800" b="0" baseline="0">
              <a:solidFill>
                <a:schemeClr val="bg1"/>
              </a:solidFill>
            </a:rPr>
            <a:t>Review pricing for mid tier product to  boost appeal and sales</a:t>
          </a:r>
        </a:p>
        <a:p>
          <a:pPr algn="l"/>
          <a:r>
            <a:rPr lang="en-US" sz="1800" b="0" baseline="0">
              <a:solidFill>
                <a:schemeClr val="bg1"/>
              </a:solidFill>
            </a:rPr>
            <a:t>introduce VIP perks to encourage more big tocket purchases</a:t>
          </a:r>
        </a:p>
        <a:p>
          <a:pPr algn="l"/>
          <a:endParaRPr lang="en-US" sz="1800" b="0" baseline="0">
            <a:solidFill>
              <a:schemeClr val="bg1"/>
            </a:solidFill>
          </a:endParaRPr>
        </a:p>
      </xdr:txBody>
    </xdr:sp>
    <xdr:clientData/>
  </xdr:twoCellAnchor>
  <xdr:twoCellAnchor>
    <xdr:from>
      <xdr:col>28</xdr:col>
      <xdr:colOff>434492</xdr:colOff>
      <xdr:row>0</xdr:row>
      <xdr:rowOff>86591</xdr:rowOff>
    </xdr:from>
    <xdr:to>
      <xdr:col>41</xdr:col>
      <xdr:colOff>63417</xdr:colOff>
      <xdr:row>28</xdr:row>
      <xdr:rowOff>32715</xdr:rowOff>
    </xdr:to>
    <xdr:sp macro="" textlink="">
      <xdr:nvSpPr>
        <xdr:cNvPr id="5" name="Rectangle: Rounded Corners 4">
          <a:extLst>
            <a:ext uri="{FF2B5EF4-FFF2-40B4-BE49-F238E27FC236}">
              <a16:creationId xmlns:a16="http://schemas.microsoft.com/office/drawing/2014/main" id="{2B5C19B2-3F39-EE6A-5822-A4F7D9C8A386}"/>
            </a:ext>
          </a:extLst>
        </xdr:cNvPr>
        <xdr:cNvSpPr/>
      </xdr:nvSpPr>
      <xdr:spPr>
        <a:xfrm>
          <a:off x="17406310" y="86591"/>
          <a:ext cx="7508698" cy="51993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5">
                  <a:lumMod val="50000"/>
                </a:schemeClr>
              </a:solidFill>
            </a:rPr>
            <a:t>Analysis</a:t>
          </a:r>
          <a:r>
            <a:rPr lang="en-US" sz="1800" b="0" baseline="0">
              <a:solidFill>
                <a:schemeClr val="accent5">
                  <a:lumMod val="50000"/>
                </a:schemeClr>
              </a:solidFill>
            </a:rPr>
            <a:t> :Sales by Product category</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Observation</a:t>
          </a:r>
        </a:p>
        <a:p>
          <a:pPr algn="l"/>
          <a:r>
            <a:rPr lang="en-US" sz="1800" b="0" baseline="0">
              <a:solidFill>
                <a:schemeClr val="accent5">
                  <a:lumMod val="50000"/>
                </a:schemeClr>
              </a:solidFill>
            </a:rPr>
            <a:t>-beverages</a:t>
          </a:r>
          <a:r>
            <a:rPr lang="en-US" sz="1800" b="1" baseline="0">
              <a:solidFill>
                <a:schemeClr val="accent5">
                  <a:lumMod val="50000"/>
                </a:schemeClr>
              </a:solidFill>
            </a:rPr>
            <a:t> </a:t>
          </a:r>
          <a:r>
            <a:rPr lang="en-US" sz="1800" b="0" baseline="0">
              <a:solidFill>
                <a:schemeClr val="accent5">
                  <a:lumMod val="50000"/>
                </a:schemeClr>
              </a:solidFill>
            </a:rPr>
            <a:t>peaked as the best performing product of the year generating arevenue of $110,557.11</a:t>
          </a:r>
        </a:p>
        <a:p>
          <a:pPr algn="l"/>
          <a:r>
            <a:rPr lang="en-US" sz="1800" b="0" baseline="0">
              <a:solidFill>
                <a:schemeClr val="accent5">
                  <a:lumMod val="50000"/>
                </a:schemeClr>
              </a:solidFill>
            </a:rPr>
            <a:t>-blanks were noticed around the category area costing about $30 after futher investigations with the marketing team the arrived taht the data point is a shipping fee error</a:t>
          </a:r>
        </a:p>
        <a:p>
          <a:pPr algn="l"/>
          <a:r>
            <a:rPr lang="en-US" sz="1800" b="0" baseline="0">
              <a:solidFill>
                <a:schemeClr val="accent5">
                  <a:lumMod val="50000"/>
                </a:schemeClr>
              </a:solidFill>
            </a:rPr>
            <a:t> -sauces came in as the secong most purchased at $</a:t>
          </a:r>
        </a:p>
        <a:p>
          <a:pPr algn="l"/>
          <a:r>
            <a:rPr lang="en-US" sz="1800" b="0" baseline="0">
              <a:solidFill>
                <a:schemeClr val="accent5">
                  <a:lumMod val="50000"/>
                </a:schemeClr>
              </a:solidFill>
            </a:rPr>
            <a:t>At the top 6, canned meat is the list performing product category with</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Pre- Insights</a:t>
          </a:r>
        </a:p>
        <a:p>
          <a:pPr algn="l"/>
          <a:r>
            <a:rPr lang="en-US" sz="1800" b="0" baseline="0">
              <a:solidFill>
                <a:sysClr val="windowText" lastClr="000000"/>
              </a:solidFill>
            </a:rPr>
            <a:t>To improve sales of sauces , consider bundling with related items like pasta or rice</a:t>
          </a:r>
        </a:p>
        <a:p>
          <a:pPr algn="l"/>
          <a:r>
            <a:rPr lang="en-US" sz="1800" b="0" baseline="0">
              <a:solidFill>
                <a:sysClr val="windowText" lastClr="000000"/>
              </a:solidFill>
            </a:rPr>
            <a:t>Consuder a monnthly supply of beverages to customers on premiu cards </a:t>
          </a:r>
        </a:p>
        <a:p>
          <a:pPr algn="l"/>
          <a:r>
            <a:rPr lang="en-US" sz="1800" b="0" baseline="0">
              <a:solidFill>
                <a:sysClr val="windowText" lastClr="000000"/>
              </a:solidFill>
            </a:rPr>
            <a:t>ighlight dride fruits as health snack to improve appleal to customers</a:t>
          </a:r>
        </a:p>
      </xdr:txBody>
    </xdr:sp>
    <xdr:clientData/>
  </xdr:twoCellAnchor>
  <xdr:twoCellAnchor>
    <xdr:from>
      <xdr:col>42</xdr:col>
      <xdr:colOff>81613</xdr:colOff>
      <xdr:row>0</xdr:row>
      <xdr:rowOff>7857</xdr:rowOff>
    </xdr:from>
    <xdr:to>
      <xdr:col>54</xdr:col>
      <xdr:colOff>322859</xdr:colOff>
      <xdr:row>27</xdr:row>
      <xdr:rowOff>141596</xdr:rowOff>
    </xdr:to>
    <xdr:sp macro="" textlink="">
      <xdr:nvSpPr>
        <xdr:cNvPr id="6" name="Rectangle: Rounded Corners 5">
          <a:extLst>
            <a:ext uri="{FF2B5EF4-FFF2-40B4-BE49-F238E27FC236}">
              <a16:creationId xmlns:a16="http://schemas.microsoft.com/office/drawing/2014/main" id="{14AC036F-5F95-15E9-3F9B-4B8D9D754FB1}"/>
            </a:ext>
          </a:extLst>
        </xdr:cNvPr>
        <xdr:cNvSpPr/>
      </xdr:nvSpPr>
      <xdr:spPr>
        <a:xfrm>
          <a:off x="25539340" y="7857"/>
          <a:ext cx="7514883" cy="519930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Analysis</a:t>
          </a:r>
          <a:r>
            <a:rPr lang="en-US" sz="1800" b="0" baseline="0">
              <a:solidFill>
                <a:schemeClr val="bg1"/>
              </a:solidFill>
            </a:rPr>
            <a:t> : Performance by state</a:t>
          </a:r>
          <a:endParaRPr lang="en-US" sz="1400" b="0" baseline="0">
            <a:solidFill>
              <a:schemeClr val="bg1"/>
            </a:solidFill>
          </a:endParaRPr>
        </a:p>
        <a:p>
          <a:pPr algn="l"/>
          <a:endParaRPr lang="en-US" sz="1800" b="0" baseline="0">
            <a:solidFill>
              <a:schemeClr val="bg1"/>
            </a:solidFill>
          </a:endParaRPr>
        </a:p>
        <a:p>
          <a:pPr algn="l"/>
          <a:r>
            <a:rPr lang="en-US" sz="1800" b="1" baseline="0">
              <a:solidFill>
                <a:schemeClr val="bg1"/>
              </a:solidFill>
            </a:rPr>
            <a:t>Observation </a:t>
          </a:r>
        </a:p>
        <a:p>
          <a:pPr algn="l"/>
          <a:r>
            <a:rPr lang="en-US" sz="1800" b="0" baseline="0">
              <a:solidFill>
                <a:schemeClr val="bg1"/>
              </a:solidFill>
            </a:rPr>
            <a:t>New york is the best perorminf ste , it has the highest revenue of $67,180.50.</a:t>
          </a:r>
        </a:p>
        <a:p>
          <a:pPr algn="l"/>
          <a:r>
            <a:rPr lang="en-US" sz="1800" b="0" baseline="0">
              <a:solidFill>
                <a:schemeClr val="bg1"/>
              </a:solidFill>
            </a:rPr>
            <a:t>Nevada performed below par with a revenue of  $15,365.50</a:t>
          </a:r>
        </a:p>
        <a:p>
          <a:pPr algn="l"/>
          <a:r>
            <a:rPr lang="en-US" sz="1800" b="1" baseline="0">
              <a:solidFill>
                <a:schemeClr val="bg1"/>
              </a:solidFill>
            </a:rPr>
            <a:t>Pre- Insights</a:t>
          </a:r>
        </a:p>
        <a:p>
          <a:pPr algn="l"/>
          <a:r>
            <a:rPr lang="en-US" sz="1800" b="0" baseline="0">
              <a:solidFill>
                <a:schemeClr val="bg1"/>
              </a:solidFill>
            </a:rPr>
            <a:t>The fir cn explore moving major goods and sales persons tp under performing states</a:t>
          </a:r>
        </a:p>
        <a:p>
          <a:pPr algn="l"/>
          <a:r>
            <a:rPr lang="en-US" sz="1800" b="0" baseline="0">
              <a:solidFill>
                <a:schemeClr val="bg1"/>
              </a:solidFill>
            </a:rPr>
            <a:t>The method used in New york shoukd be introduced into other states</a:t>
          </a:r>
        </a:p>
        <a:p>
          <a:pPr algn="l"/>
          <a:r>
            <a:rPr lang="en-US" sz="1800" b="0" baseline="0">
              <a:solidFill>
                <a:schemeClr val="bg1"/>
              </a:solidFill>
            </a:rPr>
            <a:t>More goods should be moved tp new york generate even more sales</a:t>
          </a:r>
        </a:p>
        <a:p>
          <a:pPr algn="l"/>
          <a:r>
            <a:rPr lang="en-US" sz="1800" b="0" baseline="0">
              <a:solidFill>
                <a:schemeClr val="bg1"/>
              </a:solidFill>
            </a:rPr>
            <a:t>The firms can track sales in new york and nevada to compare prices and know how to regulate prices for under performing states.</a:t>
          </a:r>
        </a:p>
      </xdr:txBody>
    </xdr:sp>
    <xdr:clientData/>
  </xdr:twoCellAnchor>
  <xdr:twoCellAnchor>
    <xdr:from>
      <xdr:col>42</xdr:col>
      <xdr:colOff>254961</xdr:colOff>
      <xdr:row>30</xdr:row>
      <xdr:rowOff>80242</xdr:rowOff>
    </xdr:from>
    <xdr:to>
      <xdr:col>54</xdr:col>
      <xdr:colOff>490022</xdr:colOff>
      <xdr:row>58</xdr:row>
      <xdr:rowOff>26366</xdr:rowOff>
    </xdr:to>
    <xdr:sp macro="" textlink="">
      <xdr:nvSpPr>
        <xdr:cNvPr id="8" name="Rectangle: Rounded Corners 7">
          <a:extLst>
            <a:ext uri="{FF2B5EF4-FFF2-40B4-BE49-F238E27FC236}">
              <a16:creationId xmlns:a16="http://schemas.microsoft.com/office/drawing/2014/main" id="{BE3CB171-F331-2F6F-F37C-72D6B1F55DDD}"/>
            </a:ext>
          </a:extLst>
        </xdr:cNvPr>
        <xdr:cNvSpPr/>
      </xdr:nvSpPr>
      <xdr:spPr>
        <a:xfrm>
          <a:off x="25712688" y="5708651"/>
          <a:ext cx="7508698" cy="51993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5">
                  <a:lumMod val="50000"/>
                </a:schemeClr>
              </a:solidFill>
            </a:rPr>
            <a:t>Analysis</a:t>
          </a:r>
          <a:r>
            <a:rPr lang="en-US" sz="1800" b="0" baseline="0">
              <a:solidFill>
                <a:schemeClr val="accent5">
                  <a:lumMod val="50000"/>
                </a:schemeClr>
              </a:solidFill>
            </a:rPr>
            <a:t> :Sales by Product category</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Observation</a:t>
          </a:r>
        </a:p>
        <a:p>
          <a:pPr algn="l"/>
          <a:r>
            <a:rPr lang="en-US" sz="1800" b="0" baseline="0">
              <a:solidFill>
                <a:schemeClr val="accent5">
                  <a:lumMod val="50000"/>
                </a:schemeClr>
              </a:solidFill>
            </a:rPr>
            <a:t>The top 5 cities are New york, Portland, Miami, Memphis and Chicago</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Pre- Insights</a:t>
          </a:r>
        </a:p>
        <a:p>
          <a:pPr algn="l"/>
          <a:r>
            <a:rPr lang="en-US" sz="2000" b="0" baseline="0">
              <a:solidFill>
                <a:schemeClr val="accent5">
                  <a:lumMod val="50000"/>
                </a:schemeClr>
              </a:solidFill>
            </a:rPr>
            <a:t>introdue loyalty programesin Newyork to retain high soending customers</a:t>
          </a:r>
        </a:p>
        <a:p>
          <a:pPr algn="l"/>
          <a:r>
            <a:rPr lang="en-US" sz="2000" b="0" baseline="0">
              <a:solidFill>
                <a:schemeClr val="accent5">
                  <a:lumMod val="50000"/>
                </a:schemeClr>
              </a:solidFill>
            </a:rPr>
            <a:t>optimize delivry speed to improve customer satisfaction</a:t>
          </a:r>
        </a:p>
        <a:p>
          <a:pPr algn="l"/>
          <a:r>
            <a:rPr lang="en-US" sz="2000" b="0" baseline="0">
              <a:solidFill>
                <a:schemeClr val="accent5">
                  <a:lumMod val="50000"/>
                </a:schemeClr>
              </a:solidFill>
            </a:rPr>
            <a:t>offfer multilingual support and promos to engage diverse customer base</a:t>
          </a:r>
        </a:p>
        <a:p>
          <a:pPr algn="l"/>
          <a:r>
            <a:rPr lang="en-US" sz="2000" b="0" baseline="0">
              <a:solidFill>
                <a:schemeClr val="accent5">
                  <a:lumMod val="50000"/>
                </a:schemeClr>
              </a:solidFill>
            </a:rPr>
            <a:t>partner with ;ocal influencers to increase brand visibilty and trust</a:t>
          </a:r>
        </a:p>
      </xdr:txBody>
    </xdr:sp>
    <xdr:clientData/>
  </xdr:twoCellAnchor>
  <xdr:twoCellAnchor>
    <xdr:from>
      <xdr:col>55</xdr:col>
      <xdr:colOff>162019</xdr:colOff>
      <xdr:row>0</xdr:row>
      <xdr:rowOff>0</xdr:rowOff>
    </xdr:from>
    <xdr:to>
      <xdr:col>67</xdr:col>
      <xdr:colOff>397081</xdr:colOff>
      <xdr:row>27</xdr:row>
      <xdr:rowOff>133738</xdr:rowOff>
    </xdr:to>
    <xdr:sp macro="" textlink="">
      <xdr:nvSpPr>
        <xdr:cNvPr id="10" name="Rectangle: Rounded Corners 9">
          <a:extLst>
            <a:ext uri="{FF2B5EF4-FFF2-40B4-BE49-F238E27FC236}">
              <a16:creationId xmlns:a16="http://schemas.microsoft.com/office/drawing/2014/main" id="{25CA7656-19CB-1836-80FB-7DE67644FD64}"/>
            </a:ext>
          </a:extLst>
        </xdr:cNvPr>
        <xdr:cNvSpPr/>
      </xdr:nvSpPr>
      <xdr:spPr>
        <a:xfrm>
          <a:off x="33499519" y="0"/>
          <a:ext cx="7508698" cy="51993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5">
                  <a:lumMod val="50000"/>
                </a:schemeClr>
              </a:solidFill>
            </a:rPr>
            <a:t>Analysis</a:t>
          </a:r>
          <a:r>
            <a:rPr lang="en-US" sz="1800" b="0" baseline="0">
              <a:solidFill>
                <a:schemeClr val="accent5">
                  <a:lumMod val="50000"/>
                </a:schemeClr>
              </a:solidFill>
            </a:rPr>
            <a:t>  Top 6 ship cities by revenue</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Observation</a:t>
          </a:r>
        </a:p>
        <a:p>
          <a:pPr algn="l"/>
          <a:r>
            <a:rPr lang="en-US" sz="1800" b="0" baseline="0">
              <a:solidFill>
                <a:schemeClr val="accent5">
                  <a:lumMod val="50000"/>
                </a:schemeClr>
              </a:solidFill>
            </a:rPr>
            <a:t>The top 5 cities are New york, Portland, Miami, Memphis , Chicago and Milwaukee</a:t>
          </a:r>
        </a:p>
        <a:p>
          <a:pPr algn="l"/>
          <a:endParaRPr lang="en-US" sz="1800" b="0" baseline="0">
            <a:solidFill>
              <a:schemeClr val="accent5">
                <a:lumMod val="50000"/>
              </a:schemeClr>
            </a:solidFill>
          </a:endParaRPr>
        </a:p>
        <a:p>
          <a:pPr algn="l"/>
          <a:r>
            <a:rPr lang="en-US" sz="1800" b="1" baseline="0">
              <a:solidFill>
                <a:schemeClr val="accent5">
                  <a:lumMod val="50000"/>
                </a:schemeClr>
              </a:solidFill>
            </a:rPr>
            <a:t>Pre- Insights</a:t>
          </a:r>
        </a:p>
        <a:p>
          <a:pPr algn="l"/>
          <a:r>
            <a:rPr lang="en-US" sz="1800" b="0" baseline="0">
              <a:solidFill>
                <a:schemeClr val="accent5">
                  <a:lumMod val="50000"/>
                </a:schemeClr>
              </a:solidFill>
            </a:rPr>
            <a:t>Leaverage customer loyalty programmes to maintain dominance and drive repeat sales</a:t>
          </a:r>
        </a:p>
        <a:p>
          <a:pPr algn="l"/>
          <a:r>
            <a:rPr lang="en-US" sz="1800" b="0" baseline="0">
              <a:solidFill>
                <a:schemeClr val="accent5">
                  <a:lumMod val="50000"/>
                </a:schemeClr>
              </a:solidFill>
            </a:rPr>
            <a:t>improve delivery time to covert strong interest into sustained growth</a:t>
          </a:r>
        </a:p>
        <a:p>
          <a:pPr algn="l"/>
          <a:r>
            <a:rPr lang="en-US" sz="1800" b="0" baseline="0">
              <a:solidFill>
                <a:schemeClr val="accent5">
                  <a:lumMod val="50000"/>
                </a:schemeClr>
              </a:solidFill>
            </a:rPr>
            <a:t>expand product varirty to meey broader customer needs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231589</xdr:colOff>
      <xdr:row>4</xdr:row>
      <xdr:rowOff>14195</xdr:rowOff>
    </xdr:from>
    <xdr:to>
      <xdr:col>13</xdr:col>
      <xdr:colOff>515471</xdr:colOff>
      <xdr:row>18</xdr:row>
      <xdr:rowOff>142689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5EE9A87-E89B-BDB1-9E67-150CB04B41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8939" y="763495"/>
              <a:ext cx="4195482" cy="2706594"/>
            </a:xfrm>
            <a:prstGeom prst="rect">
              <a:avLst/>
            </a:prstGeom>
            <a:solidFill>
              <a:prstClr val="white"/>
            </a:solidFill>
            <a:ln w="1">
              <a:solidFill>
                <a:prstClr val="green"/>
              </a:solidFill>
            </a:ln>
          </xdr:spPr>
          <xdr:txBody>
            <a:bodyPr vertOverflow="clip" horzOverflow="clip"/>
            <a:lstStyle/>
            <a:p>
              <a:r>
                <a:rPr lang="en-NF"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19</xdr:col>
      <xdr:colOff>21167</xdr:colOff>
      <xdr:row>6</xdr:row>
      <xdr:rowOff>10583</xdr:rowOff>
    </xdr:from>
    <xdr:to>
      <xdr:col>29</xdr:col>
      <xdr:colOff>264583</xdr:colOff>
      <xdr:row>19</xdr:row>
      <xdr:rowOff>161989</xdr:rowOff>
    </xdr:to>
    <xdr:sp macro="" textlink="">
      <xdr:nvSpPr>
        <xdr:cNvPr id="47" name="Rectangle: Rounded Corners 46">
          <a:extLst>
            <a:ext uri="{FF2B5EF4-FFF2-40B4-BE49-F238E27FC236}">
              <a16:creationId xmlns:a16="http://schemas.microsoft.com/office/drawing/2014/main" id="{ABFFAAEB-56A6-FC41-4AE2-DB805D0CD37F}"/>
            </a:ext>
          </a:extLst>
        </xdr:cNvPr>
        <xdr:cNvSpPr/>
      </xdr:nvSpPr>
      <xdr:spPr>
        <a:xfrm>
          <a:off x="11684000" y="1090083"/>
          <a:ext cx="6381750" cy="2490323"/>
        </a:xfrm>
        <a:custGeom>
          <a:avLst/>
          <a:gdLst>
            <a:gd name="connsiteX0" fmla="*/ 0 w 6106583"/>
            <a:gd name="connsiteY0" fmla="*/ 379244 h 2275417"/>
            <a:gd name="connsiteX1" fmla="*/ 379244 w 6106583"/>
            <a:gd name="connsiteY1" fmla="*/ 0 h 2275417"/>
            <a:gd name="connsiteX2" fmla="*/ 5727339 w 6106583"/>
            <a:gd name="connsiteY2" fmla="*/ 0 h 2275417"/>
            <a:gd name="connsiteX3" fmla="*/ 6106583 w 6106583"/>
            <a:gd name="connsiteY3" fmla="*/ 379244 h 2275417"/>
            <a:gd name="connsiteX4" fmla="*/ 6106583 w 6106583"/>
            <a:gd name="connsiteY4" fmla="*/ 1896173 h 2275417"/>
            <a:gd name="connsiteX5" fmla="*/ 5727339 w 6106583"/>
            <a:gd name="connsiteY5" fmla="*/ 2275417 h 2275417"/>
            <a:gd name="connsiteX6" fmla="*/ 379244 w 6106583"/>
            <a:gd name="connsiteY6" fmla="*/ 2275417 h 2275417"/>
            <a:gd name="connsiteX7" fmla="*/ 0 w 6106583"/>
            <a:gd name="connsiteY7" fmla="*/ 1896173 h 2275417"/>
            <a:gd name="connsiteX8" fmla="*/ 0 w 6106583"/>
            <a:gd name="connsiteY8" fmla="*/ 379244 h 2275417"/>
            <a:gd name="connsiteX0" fmla="*/ 0 w 6127750"/>
            <a:gd name="connsiteY0" fmla="*/ 294577 h 2275417"/>
            <a:gd name="connsiteX1" fmla="*/ 400411 w 6127750"/>
            <a:gd name="connsiteY1" fmla="*/ 0 h 2275417"/>
            <a:gd name="connsiteX2" fmla="*/ 5748506 w 6127750"/>
            <a:gd name="connsiteY2" fmla="*/ 0 h 2275417"/>
            <a:gd name="connsiteX3" fmla="*/ 6127750 w 6127750"/>
            <a:gd name="connsiteY3" fmla="*/ 379244 h 2275417"/>
            <a:gd name="connsiteX4" fmla="*/ 6127750 w 6127750"/>
            <a:gd name="connsiteY4" fmla="*/ 1896173 h 2275417"/>
            <a:gd name="connsiteX5" fmla="*/ 5748506 w 6127750"/>
            <a:gd name="connsiteY5" fmla="*/ 2275417 h 2275417"/>
            <a:gd name="connsiteX6" fmla="*/ 400411 w 6127750"/>
            <a:gd name="connsiteY6" fmla="*/ 2275417 h 2275417"/>
            <a:gd name="connsiteX7" fmla="*/ 21167 w 6127750"/>
            <a:gd name="connsiteY7" fmla="*/ 1896173 h 2275417"/>
            <a:gd name="connsiteX8" fmla="*/ 0 w 6127750"/>
            <a:gd name="connsiteY8" fmla="*/ 294577 h 2275417"/>
            <a:gd name="connsiteX0" fmla="*/ 0 w 6159500"/>
            <a:gd name="connsiteY0" fmla="*/ 189308 h 2275981"/>
            <a:gd name="connsiteX1" fmla="*/ 432161 w 6159500"/>
            <a:gd name="connsiteY1" fmla="*/ 564 h 2275981"/>
            <a:gd name="connsiteX2" fmla="*/ 5780256 w 6159500"/>
            <a:gd name="connsiteY2" fmla="*/ 564 h 2275981"/>
            <a:gd name="connsiteX3" fmla="*/ 6159500 w 6159500"/>
            <a:gd name="connsiteY3" fmla="*/ 379808 h 2275981"/>
            <a:gd name="connsiteX4" fmla="*/ 6159500 w 6159500"/>
            <a:gd name="connsiteY4" fmla="*/ 1896737 h 2275981"/>
            <a:gd name="connsiteX5" fmla="*/ 5780256 w 6159500"/>
            <a:gd name="connsiteY5" fmla="*/ 2275981 h 2275981"/>
            <a:gd name="connsiteX6" fmla="*/ 432161 w 6159500"/>
            <a:gd name="connsiteY6" fmla="*/ 2275981 h 2275981"/>
            <a:gd name="connsiteX7" fmla="*/ 52917 w 6159500"/>
            <a:gd name="connsiteY7" fmla="*/ 1896737 h 2275981"/>
            <a:gd name="connsiteX8" fmla="*/ 0 w 6159500"/>
            <a:gd name="connsiteY8" fmla="*/ 189308 h 2275981"/>
            <a:gd name="connsiteX0" fmla="*/ 0 w 6159500"/>
            <a:gd name="connsiteY0" fmla="*/ 189308 h 2275981"/>
            <a:gd name="connsiteX1" fmla="*/ 432161 w 6159500"/>
            <a:gd name="connsiteY1" fmla="*/ 564 h 2275981"/>
            <a:gd name="connsiteX2" fmla="*/ 5780256 w 6159500"/>
            <a:gd name="connsiteY2" fmla="*/ 564 h 2275981"/>
            <a:gd name="connsiteX3" fmla="*/ 6159500 w 6159500"/>
            <a:gd name="connsiteY3" fmla="*/ 379808 h 2275981"/>
            <a:gd name="connsiteX4" fmla="*/ 6159500 w 6159500"/>
            <a:gd name="connsiteY4" fmla="*/ 1896737 h 2275981"/>
            <a:gd name="connsiteX5" fmla="*/ 5780256 w 6159500"/>
            <a:gd name="connsiteY5" fmla="*/ 2275981 h 2275981"/>
            <a:gd name="connsiteX6" fmla="*/ 432161 w 6159500"/>
            <a:gd name="connsiteY6" fmla="*/ 2275981 h 2275981"/>
            <a:gd name="connsiteX7" fmla="*/ 52917 w 6159500"/>
            <a:gd name="connsiteY7" fmla="*/ 2002570 h 2275981"/>
            <a:gd name="connsiteX8" fmla="*/ 0 w 6159500"/>
            <a:gd name="connsiteY8" fmla="*/ 189308 h 2275981"/>
            <a:gd name="connsiteX0" fmla="*/ 0 w 6159500"/>
            <a:gd name="connsiteY0" fmla="*/ 189308 h 2275981"/>
            <a:gd name="connsiteX1" fmla="*/ 432161 w 6159500"/>
            <a:gd name="connsiteY1" fmla="*/ 564 h 2275981"/>
            <a:gd name="connsiteX2" fmla="*/ 5780256 w 6159500"/>
            <a:gd name="connsiteY2" fmla="*/ 564 h 2275981"/>
            <a:gd name="connsiteX3" fmla="*/ 6159500 w 6159500"/>
            <a:gd name="connsiteY3" fmla="*/ 379808 h 2275981"/>
            <a:gd name="connsiteX4" fmla="*/ 6159500 w 6159500"/>
            <a:gd name="connsiteY4" fmla="*/ 1896737 h 2275981"/>
            <a:gd name="connsiteX5" fmla="*/ 5780256 w 6159500"/>
            <a:gd name="connsiteY5" fmla="*/ 2275981 h 2275981"/>
            <a:gd name="connsiteX6" fmla="*/ 432161 w 6159500"/>
            <a:gd name="connsiteY6" fmla="*/ 2275981 h 2275981"/>
            <a:gd name="connsiteX7" fmla="*/ 52917 w 6159500"/>
            <a:gd name="connsiteY7" fmla="*/ 2066070 h 2275981"/>
            <a:gd name="connsiteX8" fmla="*/ 0 w 6159500"/>
            <a:gd name="connsiteY8" fmla="*/ 189308 h 2275981"/>
            <a:gd name="connsiteX0" fmla="*/ 0 w 6159500"/>
            <a:gd name="connsiteY0" fmla="*/ 189308 h 2275981"/>
            <a:gd name="connsiteX1" fmla="*/ 432161 w 6159500"/>
            <a:gd name="connsiteY1" fmla="*/ 564 h 2275981"/>
            <a:gd name="connsiteX2" fmla="*/ 5780256 w 6159500"/>
            <a:gd name="connsiteY2" fmla="*/ 564 h 2275981"/>
            <a:gd name="connsiteX3" fmla="*/ 6138333 w 6159500"/>
            <a:gd name="connsiteY3" fmla="*/ 189308 h 2275981"/>
            <a:gd name="connsiteX4" fmla="*/ 6159500 w 6159500"/>
            <a:gd name="connsiteY4" fmla="*/ 1896737 h 2275981"/>
            <a:gd name="connsiteX5" fmla="*/ 5780256 w 6159500"/>
            <a:gd name="connsiteY5" fmla="*/ 2275981 h 2275981"/>
            <a:gd name="connsiteX6" fmla="*/ 432161 w 6159500"/>
            <a:gd name="connsiteY6" fmla="*/ 2275981 h 2275981"/>
            <a:gd name="connsiteX7" fmla="*/ 52917 w 6159500"/>
            <a:gd name="connsiteY7" fmla="*/ 2066070 h 2275981"/>
            <a:gd name="connsiteX8" fmla="*/ 0 w 6159500"/>
            <a:gd name="connsiteY8" fmla="*/ 189308 h 2275981"/>
            <a:gd name="connsiteX0" fmla="*/ 0 w 6170084"/>
            <a:gd name="connsiteY0" fmla="*/ 189308 h 2276059"/>
            <a:gd name="connsiteX1" fmla="*/ 432161 w 6170084"/>
            <a:gd name="connsiteY1" fmla="*/ 564 h 2276059"/>
            <a:gd name="connsiteX2" fmla="*/ 5780256 w 6170084"/>
            <a:gd name="connsiteY2" fmla="*/ 564 h 2276059"/>
            <a:gd name="connsiteX3" fmla="*/ 6138333 w 6170084"/>
            <a:gd name="connsiteY3" fmla="*/ 189308 h 2276059"/>
            <a:gd name="connsiteX4" fmla="*/ 6170084 w 6170084"/>
            <a:gd name="connsiteY4" fmla="*/ 2076654 h 2276059"/>
            <a:gd name="connsiteX5" fmla="*/ 5780256 w 6170084"/>
            <a:gd name="connsiteY5" fmla="*/ 2275981 h 2276059"/>
            <a:gd name="connsiteX6" fmla="*/ 432161 w 6170084"/>
            <a:gd name="connsiteY6" fmla="*/ 2275981 h 2276059"/>
            <a:gd name="connsiteX7" fmla="*/ 52917 w 6170084"/>
            <a:gd name="connsiteY7" fmla="*/ 2066070 h 2276059"/>
            <a:gd name="connsiteX8" fmla="*/ 0 w 6170084"/>
            <a:gd name="connsiteY8" fmla="*/ 189308 h 2276059"/>
            <a:gd name="connsiteX0" fmla="*/ 0 w 6170084"/>
            <a:gd name="connsiteY0" fmla="*/ 189308 h 2298513"/>
            <a:gd name="connsiteX1" fmla="*/ 432161 w 6170084"/>
            <a:gd name="connsiteY1" fmla="*/ 564 h 2298513"/>
            <a:gd name="connsiteX2" fmla="*/ 5780256 w 6170084"/>
            <a:gd name="connsiteY2" fmla="*/ 564 h 2298513"/>
            <a:gd name="connsiteX3" fmla="*/ 6138333 w 6170084"/>
            <a:gd name="connsiteY3" fmla="*/ 189308 h 2298513"/>
            <a:gd name="connsiteX4" fmla="*/ 6170084 w 6170084"/>
            <a:gd name="connsiteY4" fmla="*/ 2076654 h 2298513"/>
            <a:gd name="connsiteX5" fmla="*/ 5780256 w 6170084"/>
            <a:gd name="connsiteY5" fmla="*/ 2275981 h 2298513"/>
            <a:gd name="connsiteX6" fmla="*/ 432161 w 6170084"/>
            <a:gd name="connsiteY6" fmla="*/ 2275981 h 2298513"/>
            <a:gd name="connsiteX7" fmla="*/ 42718 w 6170084"/>
            <a:gd name="connsiteY7" fmla="*/ 2163752 h 2298513"/>
            <a:gd name="connsiteX8" fmla="*/ 0 w 6170084"/>
            <a:gd name="connsiteY8" fmla="*/ 189308 h 2298513"/>
            <a:gd name="connsiteX0" fmla="*/ 0 w 6170084"/>
            <a:gd name="connsiteY0" fmla="*/ 189308 h 2298513"/>
            <a:gd name="connsiteX1" fmla="*/ 432161 w 6170084"/>
            <a:gd name="connsiteY1" fmla="*/ 564 h 2298513"/>
            <a:gd name="connsiteX2" fmla="*/ 5780256 w 6170084"/>
            <a:gd name="connsiteY2" fmla="*/ 564 h 2298513"/>
            <a:gd name="connsiteX3" fmla="*/ 6138333 w 6170084"/>
            <a:gd name="connsiteY3" fmla="*/ 189308 h 2298513"/>
            <a:gd name="connsiteX4" fmla="*/ 6170084 w 6170084"/>
            <a:gd name="connsiteY4" fmla="*/ 2076654 h 2298513"/>
            <a:gd name="connsiteX5" fmla="*/ 5780256 w 6170084"/>
            <a:gd name="connsiteY5" fmla="*/ 2275981 h 2298513"/>
            <a:gd name="connsiteX6" fmla="*/ 432161 w 6170084"/>
            <a:gd name="connsiteY6" fmla="*/ 2275981 h 2298513"/>
            <a:gd name="connsiteX7" fmla="*/ 1923 w 6170084"/>
            <a:gd name="connsiteY7" fmla="*/ 2163752 h 2298513"/>
            <a:gd name="connsiteX8" fmla="*/ 0 w 6170084"/>
            <a:gd name="connsiteY8" fmla="*/ 189308 h 22985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170084" h="2298513">
              <a:moveTo>
                <a:pt x="0" y="189308"/>
              </a:moveTo>
              <a:cubicBezTo>
                <a:pt x="0" y="-20143"/>
                <a:pt x="222710" y="564"/>
                <a:pt x="432161" y="564"/>
              </a:cubicBezTo>
              <a:lnTo>
                <a:pt x="5780256" y="564"/>
              </a:lnTo>
              <a:cubicBezTo>
                <a:pt x="5989707" y="564"/>
                <a:pt x="6138333" y="-20143"/>
                <a:pt x="6138333" y="189308"/>
              </a:cubicBezTo>
              <a:lnTo>
                <a:pt x="6170084" y="2076654"/>
              </a:lnTo>
              <a:cubicBezTo>
                <a:pt x="6170084" y="2286105"/>
                <a:pt x="5989707" y="2275981"/>
                <a:pt x="5780256" y="2275981"/>
              </a:cubicBezTo>
              <a:lnTo>
                <a:pt x="432161" y="2275981"/>
              </a:lnTo>
              <a:cubicBezTo>
                <a:pt x="222710" y="2275981"/>
                <a:pt x="1923" y="2373203"/>
                <a:pt x="1923" y="2163752"/>
              </a:cubicBezTo>
              <a:cubicBezTo>
                <a:pt x="1923" y="1658109"/>
                <a:pt x="0" y="694951"/>
                <a:pt x="0" y="189308"/>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0</xdr:col>
      <xdr:colOff>50798</xdr:colOff>
      <xdr:row>0</xdr:row>
      <xdr:rowOff>2117</xdr:rowOff>
    </xdr:from>
    <xdr:to>
      <xdr:col>31</xdr:col>
      <xdr:colOff>529167</xdr:colOff>
      <xdr:row>1</xdr:row>
      <xdr:rowOff>105833</xdr:rowOff>
    </xdr:to>
    <xdr:sp macro="" textlink="">
      <xdr:nvSpPr>
        <xdr:cNvPr id="2" name="Rectangle: Rounded Corners 1">
          <a:extLst>
            <a:ext uri="{FF2B5EF4-FFF2-40B4-BE49-F238E27FC236}">
              <a16:creationId xmlns:a16="http://schemas.microsoft.com/office/drawing/2014/main" id="{CDE87896-7FE5-8909-8A64-195874C0B9CE}"/>
            </a:ext>
          </a:extLst>
        </xdr:cNvPr>
        <xdr:cNvSpPr/>
      </xdr:nvSpPr>
      <xdr:spPr>
        <a:xfrm>
          <a:off x="50798" y="2117"/>
          <a:ext cx="19507202" cy="2836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5">
                  <a:lumMod val="50000"/>
                </a:schemeClr>
              </a:solidFill>
              <a:latin typeface="Garamond" panose="02020404030301010803" pitchFamily="18" charset="0"/>
            </a:rPr>
            <a:t>REVOLVE GROUP REPORT FOR THE YEAR 2024</a:t>
          </a:r>
          <a:endParaRPr lang="en-NF" sz="1600" b="1">
            <a:solidFill>
              <a:schemeClr val="accent5">
                <a:lumMod val="50000"/>
              </a:schemeClr>
            </a:solidFill>
            <a:latin typeface="Garamond" panose="02020404030301010803" pitchFamily="18" charset="0"/>
          </a:endParaRPr>
        </a:p>
      </xdr:txBody>
    </xdr:sp>
    <xdr:clientData/>
  </xdr:twoCellAnchor>
  <xdr:twoCellAnchor>
    <xdr:from>
      <xdr:col>0</xdr:col>
      <xdr:colOff>31750</xdr:colOff>
      <xdr:row>1</xdr:row>
      <xdr:rowOff>122764</xdr:rowOff>
    </xdr:from>
    <xdr:to>
      <xdr:col>4</xdr:col>
      <xdr:colOff>127000</xdr:colOff>
      <xdr:row>5</xdr:row>
      <xdr:rowOff>137583</xdr:rowOff>
    </xdr:to>
    <xdr:sp macro="" textlink="">
      <xdr:nvSpPr>
        <xdr:cNvPr id="3" name="Rectangle: Rounded Corners 2">
          <a:extLst>
            <a:ext uri="{FF2B5EF4-FFF2-40B4-BE49-F238E27FC236}">
              <a16:creationId xmlns:a16="http://schemas.microsoft.com/office/drawing/2014/main" id="{43FA6D01-A6AA-088B-0926-526B34F8F70B}"/>
            </a:ext>
          </a:extLst>
        </xdr:cNvPr>
        <xdr:cNvSpPr/>
      </xdr:nvSpPr>
      <xdr:spPr>
        <a:xfrm>
          <a:off x="31750" y="302681"/>
          <a:ext cx="2550583" cy="7344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latin typeface="Garamond" panose="02020404030301010803" pitchFamily="18" charset="0"/>
            </a:rPr>
            <a:t>Best</a:t>
          </a:r>
          <a:r>
            <a:rPr lang="en-US" sz="1400" baseline="0">
              <a:solidFill>
                <a:srgbClr val="002060"/>
              </a:solidFill>
              <a:latin typeface="Garamond" panose="02020404030301010803" pitchFamily="18" charset="0"/>
            </a:rPr>
            <a:t> Salea Rep 24'</a:t>
          </a:r>
        </a:p>
        <a:p>
          <a:pPr algn="ctr"/>
          <a:r>
            <a:rPr lang="en-US" sz="1400" b="1" baseline="0">
              <a:solidFill>
                <a:srgbClr val="002060"/>
              </a:solidFill>
              <a:latin typeface="Garamond" panose="02020404030301010803" pitchFamily="18" charset="0"/>
            </a:rPr>
            <a:t>Nancy Freehafer</a:t>
          </a:r>
          <a:endParaRPr lang="en-NF" sz="1400" b="1">
            <a:solidFill>
              <a:srgbClr val="002060"/>
            </a:solidFill>
            <a:latin typeface="Garamond" panose="02020404030301010803" pitchFamily="18" charset="0"/>
          </a:endParaRPr>
        </a:p>
      </xdr:txBody>
    </xdr:sp>
    <xdr:clientData/>
  </xdr:twoCellAnchor>
  <xdr:twoCellAnchor>
    <xdr:from>
      <xdr:col>0</xdr:col>
      <xdr:colOff>52916</xdr:colOff>
      <xdr:row>6</xdr:row>
      <xdr:rowOff>19404</xdr:rowOff>
    </xdr:from>
    <xdr:to>
      <xdr:col>18</xdr:col>
      <xdr:colOff>550333</xdr:colOff>
      <xdr:row>19</xdr:row>
      <xdr:rowOff>137583</xdr:rowOff>
    </xdr:to>
    <xdr:graphicFrame macro="">
      <xdr:nvGraphicFramePr>
        <xdr:cNvPr id="19" name="Chart 18">
          <a:extLst>
            <a:ext uri="{FF2B5EF4-FFF2-40B4-BE49-F238E27FC236}">
              <a16:creationId xmlns:a16="http://schemas.microsoft.com/office/drawing/2014/main" id="{5906208F-0C68-4EF6-86C3-63F5EDDBF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20</xdr:row>
      <xdr:rowOff>42332</xdr:rowOff>
    </xdr:from>
    <xdr:to>
      <xdr:col>8</xdr:col>
      <xdr:colOff>412749</xdr:colOff>
      <xdr:row>35</xdr:row>
      <xdr:rowOff>74081</xdr:rowOff>
    </xdr:to>
    <xdr:graphicFrame macro="">
      <xdr:nvGraphicFramePr>
        <xdr:cNvPr id="21" name="Chart 20">
          <a:extLst>
            <a:ext uri="{FF2B5EF4-FFF2-40B4-BE49-F238E27FC236}">
              <a16:creationId xmlns:a16="http://schemas.microsoft.com/office/drawing/2014/main" id="{DA237DCB-7D20-4248-98CE-D63BD87D6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105833</xdr:colOff>
      <xdr:row>8</xdr:row>
      <xdr:rowOff>74084</xdr:rowOff>
    </xdr:from>
    <xdr:to>
      <xdr:col>28</xdr:col>
      <xdr:colOff>402166</xdr:colOff>
      <xdr:row>18</xdr:row>
      <xdr:rowOff>105833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E0EC2BE-5C2C-44C9-B2E1-4B28AC9740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23033" y="1547284"/>
              <a:ext cx="5325533" cy="1873249"/>
            </a:xfrm>
            <a:prstGeom prst="rect">
              <a:avLst/>
            </a:prstGeom>
            <a:solidFill>
              <a:prstClr val="white"/>
            </a:solidFill>
            <a:ln w="1">
              <a:solidFill>
                <a:prstClr val="green"/>
              </a:solidFill>
            </a:ln>
          </xdr:spPr>
          <xdr:txBody>
            <a:bodyPr vertOverflow="clip" horzOverflow="clip"/>
            <a:lstStyle/>
            <a:p>
              <a:r>
                <a:rPr lang="en-NF"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42334</xdr:colOff>
      <xdr:row>20</xdr:row>
      <xdr:rowOff>74084</xdr:rowOff>
    </xdr:from>
    <xdr:to>
      <xdr:col>29</xdr:col>
      <xdr:colOff>243416</xdr:colOff>
      <xdr:row>35</xdr:row>
      <xdr:rowOff>63501</xdr:rowOff>
    </xdr:to>
    <xdr:graphicFrame macro="">
      <xdr:nvGraphicFramePr>
        <xdr:cNvPr id="5" name="Chart 4">
          <a:extLst>
            <a:ext uri="{FF2B5EF4-FFF2-40B4-BE49-F238E27FC236}">
              <a16:creationId xmlns:a16="http://schemas.microsoft.com/office/drawing/2014/main" id="{34F3F4BF-FE26-44B1-8ED3-12E6F1050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52918</xdr:colOff>
      <xdr:row>35</xdr:row>
      <xdr:rowOff>148168</xdr:rowOff>
    </xdr:from>
    <xdr:to>
      <xdr:col>8</xdr:col>
      <xdr:colOff>412749</xdr:colOff>
      <xdr:row>49</xdr:row>
      <xdr:rowOff>137584</xdr:rowOff>
    </xdr:to>
    <xdr:graphicFrame macro="">
      <xdr:nvGraphicFramePr>
        <xdr:cNvPr id="6" name="Chart 5">
          <a:extLst>
            <a:ext uri="{FF2B5EF4-FFF2-40B4-BE49-F238E27FC236}">
              <a16:creationId xmlns:a16="http://schemas.microsoft.com/office/drawing/2014/main" id="{9140797B-0638-46C5-9134-E81D266DF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476252</xdr:colOff>
      <xdr:row>35</xdr:row>
      <xdr:rowOff>148167</xdr:rowOff>
    </xdr:from>
    <xdr:to>
      <xdr:col>15</xdr:col>
      <xdr:colOff>433917</xdr:colOff>
      <xdr:row>49</xdr:row>
      <xdr:rowOff>137584</xdr:rowOff>
    </xdr:to>
    <xdr:graphicFrame macro="">
      <xdr:nvGraphicFramePr>
        <xdr:cNvPr id="8" name="Chart 7">
          <a:extLst>
            <a:ext uri="{FF2B5EF4-FFF2-40B4-BE49-F238E27FC236}">
              <a16:creationId xmlns:a16="http://schemas.microsoft.com/office/drawing/2014/main" id="{69B40865-9BA8-4183-9230-966B6BAB1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518582</xdr:colOff>
      <xdr:row>35</xdr:row>
      <xdr:rowOff>127001</xdr:rowOff>
    </xdr:from>
    <xdr:to>
      <xdr:col>29</xdr:col>
      <xdr:colOff>264582</xdr:colOff>
      <xdr:row>49</xdr:row>
      <xdr:rowOff>137583</xdr:rowOff>
    </xdr:to>
    <xdr:graphicFrame macro="">
      <xdr:nvGraphicFramePr>
        <xdr:cNvPr id="9" name="Chart 8">
          <a:extLst>
            <a:ext uri="{FF2B5EF4-FFF2-40B4-BE49-F238E27FC236}">
              <a16:creationId xmlns:a16="http://schemas.microsoft.com/office/drawing/2014/main" id="{A712EF7E-AA3E-4F8C-AD71-56B4E3E61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152400</xdr:colOff>
      <xdr:row>1</xdr:row>
      <xdr:rowOff>137581</xdr:rowOff>
    </xdr:from>
    <xdr:to>
      <xdr:col>8</xdr:col>
      <xdr:colOff>247649</xdr:colOff>
      <xdr:row>5</xdr:row>
      <xdr:rowOff>116416</xdr:rowOff>
    </xdr:to>
    <xdr:sp macro="" textlink="">
      <xdr:nvSpPr>
        <xdr:cNvPr id="28" name="Rectangle: Rounded Corners 27">
          <a:extLst>
            <a:ext uri="{FF2B5EF4-FFF2-40B4-BE49-F238E27FC236}">
              <a16:creationId xmlns:a16="http://schemas.microsoft.com/office/drawing/2014/main" id="{C4B7D244-8AAD-ACA2-1BAC-6126402E7A91}"/>
            </a:ext>
          </a:extLst>
        </xdr:cNvPr>
        <xdr:cNvSpPr/>
      </xdr:nvSpPr>
      <xdr:spPr>
        <a:xfrm>
          <a:off x="2607733" y="317498"/>
          <a:ext cx="2550583" cy="6985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latin typeface="Garamond" panose="02020404030301010803" pitchFamily="18" charset="0"/>
            </a:rPr>
            <a:t>Best</a:t>
          </a:r>
          <a:r>
            <a:rPr lang="en-US" sz="1400" baseline="0">
              <a:solidFill>
                <a:srgbClr val="002060"/>
              </a:solidFill>
              <a:latin typeface="Garamond" panose="02020404030301010803" pitchFamily="18" charset="0"/>
            </a:rPr>
            <a:t>  Ship City 24'</a:t>
          </a:r>
        </a:p>
        <a:p>
          <a:pPr algn="ctr"/>
          <a:r>
            <a:rPr lang="en-US" sz="1400" b="1" baseline="0">
              <a:solidFill>
                <a:srgbClr val="002060"/>
              </a:solidFill>
              <a:latin typeface="Garamond" panose="02020404030301010803" pitchFamily="18" charset="0"/>
            </a:rPr>
            <a:t>New York</a:t>
          </a:r>
          <a:endParaRPr lang="en-NF" sz="1400" b="1">
            <a:solidFill>
              <a:srgbClr val="002060"/>
            </a:solidFill>
            <a:latin typeface="Garamond" panose="02020404030301010803" pitchFamily="18" charset="0"/>
          </a:endParaRPr>
        </a:p>
      </xdr:txBody>
    </xdr:sp>
    <xdr:clientData/>
  </xdr:twoCellAnchor>
  <xdr:twoCellAnchor>
    <xdr:from>
      <xdr:col>8</xdr:col>
      <xdr:colOff>262466</xdr:colOff>
      <xdr:row>1</xdr:row>
      <xdr:rowOff>141816</xdr:rowOff>
    </xdr:from>
    <xdr:to>
      <xdr:col>12</xdr:col>
      <xdr:colOff>357716</xdr:colOff>
      <xdr:row>5</xdr:row>
      <xdr:rowOff>127000</xdr:rowOff>
    </xdr:to>
    <xdr:sp macro="" textlink="">
      <xdr:nvSpPr>
        <xdr:cNvPr id="29" name="Rectangle: Rounded Corners 28">
          <a:extLst>
            <a:ext uri="{FF2B5EF4-FFF2-40B4-BE49-F238E27FC236}">
              <a16:creationId xmlns:a16="http://schemas.microsoft.com/office/drawing/2014/main" id="{19A36D66-DDF1-6F03-9AF7-1DEB2F1BC3F9}"/>
            </a:ext>
          </a:extLst>
        </xdr:cNvPr>
        <xdr:cNvSpPr/>
      </xdr:nvSpPr>
      <xdr:spPr>
        <a:xfrm>
          <a:off x="5173133" y="321733"/>
          <a:ext cx="2550583" cy="704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latin typeface="Garamond" panose="02020404030301010803" pitchFamily="18" charset="0"/>
            </a:rPr>
            <a:t>Best</a:t>
          </a:r>
          <a:r>
            <a:rPr lang="en-US" sz="1400" baseline="0">
              <a:solidFill>
                <a:srgbClr val="002060"/>
              </a:solidFill>
              <a:latin typeface="Garamond" panose="02020404030301010803" pitchFamily="18" charset="0"/>
            </a:rPr>
            <a:t> Perforance by State 24'</a:t>
          </a:r>
        </a:p>
        <a:p>
          <a:pPr algn="ctr"/>
          <a:r>
            <a:rPr lang="en-US" sz="1400" b="1" baseline="0">
              <a:solidFill>
                <a:srgbClr val="002060"/>
              </a:solidFill>
              <a:latin typeface="Garamond" panose="02020404030301010803" pitchFamily="18" charset="0"/>
            </a:rPr>
            <a:t>New York</a:t>
          </a:r>
          <a:endParaRPr lang="en-NF" sz="1400" b="1">
            <a:solidFill>
              <a:srgbClr val="002060"/>
            </a:solidFill>
            <a:latin typeface="Garamond" panose="02020404030301010803" pitchFamily="18" charset="0"/>
          </a:endParaRPr>
        </a:p>
      </xdr:txBody>
    </xdr:sp>
    <xdr:clientData/>
  </xdr:twoCellAnchor>
  <xdr:twoCellAnchor>
    <xdr:from>
      <xdr:col>12</xdr:col>
      <xdr:colOff>393699</xdr:colOff>
      <xdr:row>1</xdr:row>
      <xdr:rowOff>146048</xdr:rowOff>
    </xdr:from>
    <xdr:to>
      <xdr:col>16</xdr:col>
      <xdr:colOff>488949</xdr:colOff>
      <xdr:row>5</xdr:row>
      <xdr:rowOff>137584</xdr:rowOff>
    </xdr:to>
    <xdr:sp macro="" textlink="">
      <xdr:nvSpPr>
        <xdr:cNvPr id="30" name="Rectangle: Rounded Corners 29">
          <a:extLst>
            <a:ext uri="{FF2B5EF4-FFF2-40B4-BE49-F238E27FC236}">
              <a16:creationId xmlns:a16="http://schemas.microsoft.com/office/drawing/2014/main" id="{A16A49D5-AF7D-39BE-3277-79F5C193F93A}"/>
            </a:ext>
          </a:extLst>
        </xdr:cNvPr>
        <xdr:cNvSpPr/>
      </xdr:nvSpPr>
      <xdr:spPr>
        <a:xfrm>
          <a:off x="7759699" y="325965"/>
          <a:ext cx="2550583" cy="7112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solidFill>
                <a:srgbClr val="002060"/>
              </a:solidFill>
              <a:latin typeface="Garamond" panose="02020404030301010803" pitchFamily="18" charset="0"/>
            </a:rPr>
            <a:t>Top Sales Product 24'</a:t>
          </a:r>
        </a:p>
        <a:p>
          <a:pPr algn="ctr"/>
          <a:r>
            <a:rPr lang="en-US" sz="1400" b="1" baseline="0">
              <a:solidFill>
                <a:srgbClr val="002060"/>
              </a:solidFill>
              <a:latin typeface="Garamond" panose="02020404030301010803" pitchFamily="18" charset="0"/>
            </a:rPr>
            <a:t>Beverages</a:t>
          </a:r>
          <a:endParaRPr lang="en-NF" sz="1400" b="1">
            <a:solidFill>
              <a:srgbClr val="002060"/>
            </a:solidFill>
            <a:latin typeface="Garamond" panose="02020404030301010803" pitchFamily="18" charset="0"/>
          </a:endParaRPr>
        </a:p>
      </xdr:txBody>
    </xdr:sp>
    <xdr:clientData/>
  </xdr:twoCellAnchor>
  <xdr:twoCellAnchor>
    <xdr:from>
      <xdr:col>16</xdr:col>
      <xdr:colOff>514349</xdr:colOff>
      <xdr:row>1</xdr:row>
      <xdr:rowOff>139698</xdr:rowOff>
    </xdr:from>
    <xdr:to>
      <xdr:col>20</xdr:col>
      <xdr:colOff>609598</xdr:colOff>
      <xdr:row>5</xdr:row>
      <xdr:rowOff>126999</xdr:rowOff>
    </xdr:to>
    <xdr:sp macro="" textlink="">
      <xdr:nvSpPr>
        <xdr:cNvPr id="31" name="Rectangle: Rounded Corners 30">
          <a:extLst>
            <a:ext uri="{FF2B5EF4-FFF2-40B4-BE49-F238E27FC236}">
              <a16:creationId xmlns:a16="http://schemas.microsoft.com/office/drawing/2014/main" id="{B5DB0306-82B9-A237-A38D-33EEDB2222BE}"/>
            </a:ext>
          </a:extLst>
        </xdr:cNvPr>
        <xdr:cNvSpPr/>
      </xdr:nvSpPr>
      <xdr:spPr>
        <a:xfrm>
          <a:off x="10335682" y="319615"/>
          <a:ext cx="2550583" cy="7069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002060"/>
              </a:solidFill>
              <a:latin typeface="Garamond" panose="02020404030301010803" pitchFamily="18" charset="0"/>
            </a:rPr>
            <a:t>Best</a:t>
          </a:r>
          <a:r>
            <a:rPr lang="en-US" sz="1400" baseline="0">
              <a:solidFill>
                <a:srgbClr val="002060"/>
              </a:solidFill>
              <a:latin typeface="Garamond" panose="02020404030301010803" pitchFamily="18" charset="0"/>
            </a:rPr>
            <a:t> Sales Month 24'</a:t>
          </a:r>
        </a:p>
        <a:p>
          <a:pPr algn="ctr"/>
          <a:r>
            <a:rPr lang="en-US" sz="1400" b="1" baseline="0">
              <a:solidFill>
                <a:srgbClr val="002060"/>
              </a:solidFill>
              <a:latin typeface="Garamond" panose="02020404030301010803" pitchFamily="18" charset="0"/>
            </a:rPr>
            <a:t>December</a:t>
          </a:r>
          <a:endParaRPr lang="en-NF" sz="1400" b="1">
            <a:solidFill>
              <a:srgbClr val="002060"/>
            </a:solidFill>
            <a:latin typeface="Garamond" panose="02020404030301010803" pitchFamily="18" charset="0"/>
          </a:endParaRPr>
        </a:p>
      </xdr:txBody>
    </xdr:sp>
    <xdr:clientData/>
  </xdr:twoCellAnchor>
  <xdr:twoCellAnchor>
    <xdr:from>
      <xdr:col>21</xdr:col>
      <xdr:colOff>21165</xdr:colOff>
      <xdr:row>1</xdr:row>
      <xdr:rowOff>143933</xdr:rowOff>
    </xdr:from>
    <xdr:to>
      <xdr:col>25</xdr:col>
      <xdr:colOff>116415</xdr:colOff>
      <xdr:row>5</xdr:row>
      <xdr:rowOff>116416</xdr:rowOff>
    </xdr:to>
    <xdr:sp macro="" textlink="">
      <xdr:nvSpPr>
        <xdr:cNvPr id="32" name="Rectangle: Rounded Corners 31">
          <a:extLst>
            <a:ext uri="{FF2B5EF4-FFF2-40B4-BE49-F238E27FC236}">
              <a16:creationId xmlns:a16="http://schemas.microsoft.com/office/drawing/2014/main" id="{AE0EC30E-1CFC-C3A4-5B6A-6338A6381A4F}"/>
            </a:ext>
          </a:extLst>
        </xdr:cNvPr>
        <xdr:cNvSpPr/>
      </xdr:nvSpPr>
      <xdr:spPr>
        <a:xfrm>
          <a:off x="12911665" y="323850"/>
          <a:ext cx="2550583" cy="6921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solidFill>
                <a:srgbClr val="002060"/>
              </a:solidFill>
              <a:latin typeface="Garamond" panose="02020404030301010803" pitchFamily="18" charset="0"/>
            </a:rPr>
            <a:t>Top Performing Customer 24'</a:t>
          </a:r>
        </a:p>
        <a:p>
          <a:pPr algn="ctr"/>
          <a:r>
            <a:rPr lang="en-US" sz="1400" b="1" baseline="0">
              <a:solidFill>
                <a:srgbClr val="002060"/>
              </a:solidFill>
              <a:latin typeface="Garamond" panose="02020404030301010803" pitchFamily="18" charset="0"/>
            </a:rPr>
            <a:t>Customer D</a:t>
          </a:r>
          <a:endParaRPr lang="en-NF" sz="1400" b="1">
            <a:solidFill>
              <a:srgbClr val="002060"/>
            </a:solidFill>
            <a:latin typeface="Garamond" panose="02020404030301010803" pitchFamily="18" charset="0"/>
          </a:endParaRPr>
        </a:p>
      </xdr:txBody>
    </xdr:sp>
    <xdr:clientData/>
  </xdr:twoCellAnchor>
  <xdr:twoCellAnchor>
    <xdr:from>
      <xdr:col>25</xdr:col>
      <xdr:colOff>141815</xdr:colOff>
      <xdr:row>1</xdr:row>
      <xdr:rowOff>137583</xdr:rowOff>
    </xdr:from>
    <xdr:to>
      <xdr:col>29</xdr:col>
      <xdr:colOff>237064</xdr:colOff>
      <xdr:row>5</xdr:row>
      <xdr:rowOff>116417</xdr:rowOff>
    </xdr:to>
    <xdr:sp macro="" textlink="">
      <xdr:nvSpPr>
        <xdr:cNvPr id="33" name="Rectangle: Rounded Corners 32">
          <a:extLst>
            <a:ext uri="{FF2B5EF4-FFF2-40B4-BE49-F238E27FC236}">
              <a16:creationId xmlns:a16="http://schemas.microsoft.com/office/drawing/2014/main" id="{6D48F6A6-A76A-B19D-6F3D-58AA6C037B4F}"/>
            </a:ext>
          </a:extLst>
        </xdr:cNvPr>
        <xdr:cNvSpPr/>
      </xdr:nvSpPr>
      <xdr:spPr>
        <a:xfrm>
          <a:off x="15487648" y="317500"/>
          <a:ext cx="2550583" cy="698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solidFill>
                <a:srgbClr val="002060"/>
              </a:solidFill>
              <a:latin typeface="Garamond" panose="02020404030301010803" pitchFamily="18" charset="0"/>
            </a:rPr>
            <a:t>Top Sales Reagion 24'</a:t>
          </a:r>
        </a:p>
        <a:p>
          <a:pPr algn="ctr"/>
          <a:r>
            <a:rPr lang="en-US" sz="1400" b="1" baseline="0">
              <a:solidFill>
                <a:srgbClr val="002060"/>
              </a:solidFill>
              <a:latin typeface="Garamond" panose="02020404030301010803" pitchFamily="18" charset="0"/>
            </a:rPr>
            <a:t>North</a:t>
          </a:r>
          <a:endParaRPr lang="en-NF" sz="1400" b="1">
            <a:solidFill>
              <a:srgbClr val="002060"/>
            </a:solidFill>
            <a:latin typeface="Garamond" panose="02020404030301010803" pitchFamily="18" charset="0"/>
          </a:endParaRPr>
        </a:p>
      </xdr:txBody>
    </xdr:sp>
    <xdr:clientData/>
  </xdr:twoCellAnchor>
  <xdr:twoCellAnchor>
    <xdr:from>
      <xdr:col>8</xdr:col>
      <xdr:colOff>465667</xdr:colOff>
      <xdr:row>20</xdr:row>
      <xdr:rowOff>63503</xdr:rowOff>
    </xdr:from>
    <xdr:to>
      <xdr:col>18</xdr:col>
      <xdr:colOff>582083</xdr:colOff>
      <xdr:row>35</xdr:row>
      <xdr:rowOff>52917</xdr:rowOff>
    </xdr:to>
    <xdr:graphicFrame macro="">
      <xdr:nvGraphicFramePr>
        <xdr:cNvPr id="34" name="Chart 33">
          <a:extLst>
            <a:ext uri="{FF2B5EF4-FFF2-40B4-BE49-F238E27FC236}">
              <a16:creationId xmlns:a16="http://schemas.microsoft.com/office/drawing/2014/main" id="{FE8CC15E-716F-412C-B818-A48ABEB5A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148166</xdr:colOff>
      <xdr:row>2</xdr:row>
      <xdr:rowOff>35981</xdr:rowOff>
    </xdr:from>
    <xdr:to>
      <xdr:col>1</xdr:col>
      <xdr:colOff>55249</xdr:colOff>
      <xdr:row>4</xdr:row>
      <xdr:rowOff>144147</xdr:rowOff>
    </xdr:to>
    <xdr:pic>
      <xdr:nvPicPr>
        <xdr:cNvPr id="10" name="Graphic 9" descr="Call center with solid fill">
          <a:extLst>
            <a:ext uri="{FF2B5EF4-FFF2-40B4-BE49-F238E27FC236}">
              <a16:creationId xmlns:a16="http://schemas.microsoft.com/office/drawing/2014/main" id="{E6F62BB1-F16B-019B-769D-907865B2CF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166" y="395814"/>
          <a:ext cx="468000" cy="468000"/>
        </a:xfrm>
        <a:prstGeom prst="rect">
          <a:avLst/>
        </a:prstGeom>
      </xdr:spPr>
    </xdr:pic>
    <xdr:clientData/>
  </xdr:twoCellAnchor>
  <xdr:twoCellAnchor editAs="oneCell">
    <xdr:from>
      <xdr:col>12</xdr:col>
      <xdr:colOff>455083</xdr:colOff>
      <xdr:row>2</xdr:row>
      <xdr:rowOff>99483</xdr:rowOff>
    </xdr:from>
    <xdr:to>
      <xdr:col>13</xdr:col>
      <xdr:colOff>362166</xdr:colOff>
      <xdr:row>5</xdr:row>
      <xdr:rowOff>27733</xdr:rowOff>
    </xdr:to>
    <xdr:pic>
      <xdr:nvPicPr>
        <xdr:cNvPr id="35" name="Graphic 34" descr="Bar graph with upward trend with solid fill">
          <a:extLst>
            <a:ext uri="{FF2B5EF4-FFF2-40B4-BE49-F238E27FC236}">
              <a16:creationId xmlns:a16="http://schemas.microsoft.com/office/drawing/2014/main" id="{6029773B-1F9D-A4DF-50D2-495D9EFB3E5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21083" y="459316"/>
          <a:ext cx="468000" cy="468000"/>
        </a:xfrm>
        <a:prstGeom prst="rect">
          <a:avLst/>
        </a:prstGeom>
      </xdr:spPr>
    </xdr:pic>
    <xdr:clientData/>
  </xdr:twoCellAnchor>
  <xdr:twoCellAnchor editAs="oneCell">
    <xdr:from>
      <xdr:col>25</xdr:col>
      <xdr:colOff>179917</xdr:colOff>
      <xdr:row>2</xdr:row>
      <xdr:rowOff>120650</xdr:rowOff>
    </xdr:from>
    <xdr:to>
      <xdr:col>26</xdr:col>
      <xdr:colOff>87001</xdr:colOff>
      <xdr:row>5</xdr:row>
      <xdr:rowOff>48900</xdr:rowOff>
    </xdr:to>
    <xdr:pic>
      <xdr:nvPicPr>
        <xdr:cNvPr id="39" name="Graphic 38" descr="Earth Globe - Asia with solid fill">
          <a:extLst>
            <a:ext uri="{FF2B5EF4-FFF2-40B4-BE49-F238E27FC236}">
              <a16:creationId xmlns:a16="http://schemas.microsoft.com/office/drawing/2014/main" id="{4D807BC9-786B-8615-147D-6B4891B11D1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525750" y="480483"/>
          <a:ext cx="468000" cy="468000"/>
        </a:xfrm>
        <a:prstGeom prst="rect">
          <a:avLst/>
        </a:prstGeom>
      </xdr:spPr>
    </xdr:pic>
    <xdr:clientData/>
  </xdr:twoCellAnchor>
  <xdr:twoCellAnchor editAs="oneCell">
    <xdr:from>
      <xdr:col>16</xdr:col>
      <xdr:colOff>550334</xdr:colOff>
      <xdr:row>2</xdr:row>
      <xdr:rowOff>99486</xdr:rowOff>
    </xdr:from>
    <xdr:to>
      <xdr:col>17</xdr:col>
      <xdr:colOff>457418</xdr:colOff>
      <xdr:row>5</xdr:row>
      <xdr:rowOff>27736</xdr:rowOff>
    </xdr:to>
    <xdr:pic>
      <xdr:nvPicPr>
        <xdr:cNvPr id="41" name="Graphic 40" descr="Monthly calendar with solid fill">
          <a:extLst>
            <a:ext uri="{FF2B5EF4-FFF2-40B4-BE49-F238E27FC236}">
              <a16:creationId xmlns:a16="http://schemas.microsoft.com/office/drawing/2014/main" id="{B318BE1D-7E30-9AA8-8C47-FF43A6007B0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71667" y="459319"/>
          <a:ext cx="468000" cy="468000"/>
        </a:xfrm>
        <a:prstGeom prst="rect">
          <a:avLst/>
        </a:prstGeom>
      </xdr:spPr>
    </xdr:pic>
    <xdr:clientData/>
  </xdr:twoCellAnchor>
  <xdr:twoCellAnchor editAs="oneCell">
    <xdr:from>
      <xdr:col>8</xdr:col>
      <xdr:colOff>338666</xdr:colOff>
      <xdr:row>2</xdr:row>
      <xdr:rowOff>131234</xdr:rowOff>
    </xdr:from>
    <xdr:to>
      <xdr:col>9</xdr:col>
      <xdr:colOff>245749</xdr:colOff>
      <xdr:row>5</xdr:row>
      <xdr:rowOff>59484</xdr:rowOff>
    </xdr:to>
    <xdr:pic>
      <xdr:nvPicPr>
        <xdr:cNvPr id="43" name="Graphic 42" descr="City with solid fill">
          <a:extLst>
            <a:ext uri="{FF2B5EF4-FFF2-40B4-BE49-F238E27FC236}">
              <a16:creationId xmlns:a16="http://schemas.microsoft.com/office/drawing/2014/main" id="{241CB726-FEC1-CE7F-9925-44916C7CD24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249333" y="491067"/>
          <a:ext cx="468000" cy="468000"/>
        </a:xfrm>
        <a:prstGeom prst="rect">
          <a:avLst/>
        </a:prstGeom>
      </xdr:spPr>
    </xdr:pic>
    <xdr:clientData/>
  </xdr:twoCellAnchor>
  <xdr:twoCellAnchor editAs="oneCell">
    <xdr:from>
      <xdr:col>21</xdr:col>
      <xdr:colOff>127000</xdr:colOff>
      <xdr:row>2</xdr:row>
      <xdr:rowOff>141819</xdr:rowOff>
    </xdr:from>
    <xdr:to>
      <xdr:col>22</xdr:col>
      <xdr:colOff>34083</xdr:colOff>
      <xdr:row>5</xdr:row>
      <xdr:rowOff>70069</xdr:rowOff>
    </xdr:to>
    <xdr:pic>
      <xdr:nvPicPr>
        <xdr:cNvPr id="45" name="Graphic 44" descr="Rating 3 Star with solid fill">
          <a:extLst>
            <a:ext uri="{FF2B5EF4-FFF2-40B4-BE49-F238E27FC236}">
              <a16:creationId xmlns:a16="http://schemas.microsoft.com/office/drawing/2014/main" id="{96C050E7-DA68-7019-BA04-DD248AC4162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017500" y="501652"/>
          <a:ext cx="468000" cy="468000"/>
        </a:xfrm>
        <a:prstGeom prst="rect">
          <a:avLst/>
        </a:prstGeom>
      </xdr:spPr>
    </xdr:pic>
    <xdr:clientData/>
  </xdr:twoCellAnchor>
  <xdr:twoCellAnchor editAs="oneCell">
    <xdr:from>
      <xdr:col>4</xdr:col>
      <xdr:colOff>289984</xdr:colOff>
      <xdr:row>2</xdr:row>
      <xdr:rowOff>61383</xdr:rowOff>
    </xdr:from>
    <xdr:to>
      <xdr:col>5</xdr:col>
      <xdr:colOff>197068</xdr:colOff>
      <xdr:row>4</xdr:row>
      <xdr:rowOff>169549</xdr:rowOff>
    </xdr:to>
    <xdr:pic>
      <xdr:nvPicPr>
        <xdr:cNvPr id="46" name="Graphic 45" descr="City with solid fill">
          <a:extLst>
            <a:ext uri="{FF2B5EF4-FFF2-40B4-BE49-F238E27FC236}">
              <a16:creationId xmlns:a16="http://schemas.microsoft.com/office/drawing/2014/main" id="{2314AA44-19FC-9580-E0CC-B2B1F768A27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745317" y="421216"/>
          <a:ext cx="468000" cy="468000"/>
        </a:xfrm>
        <a:prstGeom prst="rect">
          <a:avLst/>
        </a:prstGeom>
      </xdr:spPr>
    </xdr:pic>
    <xdr:clientData/>
  </xdr:twoCellAnchor>
  <xdr:twoCellAnchor editAs="oneCell">
    <xdr:from>
      <xdr:col>29</xdr:col>
      <xdr:colOff>289984</xdr:colOff>
      <xdr:row>2</xdr:row>
      <xdr:rowOff>6350</xdr:rowOff>
    </xdr:from>
    <xdr:to>
      <xdr:col>32</xdr:col>
      <xdr:colOff>74083</xdr:colOff>
      <xdr:row>16</xdr:row>
      <xdr:rowOff>11641</xdr:rowOff>
    </xdr:to>
    <mc:AlternateContent xmlns:mc="http://schemas.openxmlformats.org/markup-compatibility/2006" xmlns:a14="http://schemas.microsoft.com/office/drawing/2010/main">
      <mc:Choice Requires="a14">
        <xdr:graphicFrame macro="">
          <xdr:nvGraphicFramePr>
            <xdr:cNvPr id="51" name="Salesperson">
              <a:extLst>
                <a:ext uri="{FF2B5EF4-FFF2-40B4-BE49-F238E27FC236}">
                  <a16:creationId xmlns:a16="http://schemas.microsoft.com/office/drawing/2014/main" id="{926618E4-4CFA-B3F7-28D9-82597AAC4BD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091151" y="366183"/>
              <a:ext cx="1466849" cy="2524125"/>
            </a:xfrm>
            <a:prstGeom prst="rect">
              <a:avLst/>
            </a:prstGeom>
            <a:solidFill>
              <a:prstClr val="white"/>
            </a:solidFill>
            <a:ln w="1">
              <a:solidFill>
                <a:prstClr val="green"/>
              </a:solidFill>
            </a:ln>
          </xdr:spPr>
          <xdr:txBody>
            <a:bodyPr vertOverflow="clip" horzOverflow="clip"/>
            <a:lstStyle/>
            <a:p>
              <a:r>
                <a:rPr lang="en-NF"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306916</xdr:colOff>
      <xdr:row>16</xdr:row>
      <xdr:rowOff>69848</xdr:rowOff>
    </xdr:from>
    <xdr:to>
      <xdr:col>32</xdr:col>
      <xdr:colOff>52916</xdr:colOff>
      <xdr:row>24</xdr:row>
      <xdr:rowOff>84667</xdr:rowOff>
    </xdr:to>
    <mc:AlternateContent xmlns:mc="http://schemas.openxmlformats.org/markup-compatibility/2006" xmlns:a14="http://schemas.microsoft.com/office/drawing/2010/main">
      <mc:Choice Requires="a14">
        <xdr:graphicFrame macro="">
          <xdr:nvGraphicFramePr>
            <xdr:cNvPr id="53" name="Region">
              <a:extLst>
                <a:ext uri="{FF2B5EF4-FFF2-40B4-BE49-F238E27FC236}">
                  <a16:creationId xmlns:a16="http://schemas.microsoft.com/office/drawing/2014/main" id="{9C8CE836-3DE0-6B96-752F-70460371C8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08083" y="2948515"/>
              <a:ext cx="1428750" cy="1454152"/>
            </a:xfrm>
            <a:prstGeom prst="rect">
              <a:avLst/>
            </a:prstGeom>
            <a:solidFill>
              <a:prstClr val="white"/>
            </a:solidFill>
            <a:ln w="1">
              <a:solidFill>
                <a:prstClr val="green"/>
              </a:solidFill>
            </a:ln>
          </xdr:spPr>
          <xdr:txBody>
            <a:bodyPr vertOverflow="clip" horzOverflow="clip"/>
            <a:lstStyle/>
            <a:p>
              <a:r>
                <a:rPr lang="en-NF"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332316</xdr:colOff>
      <xdr:row>24</xdr:row>
      <xdr:rowOff>154515</xdr:rowOff>
    </xdr:from>
    <xdr:to>
      <xdr:col>32</xdr:col>
      <xdr:colOff>52915</xdr:colOff>
      <xdr:row>38</xdr:row>
      <xdr:rowOff>159807</xdr:rowOff>
    </xdr:to>
    <mc:AlternateContent xmlns:mc="http://schemas.openxmlformats.org/markup-compatibility/2006" xmlns:a14="http://schemas.microsoft.com/office/drawing/2010/main">
      <mc:Choice Requires="a14">
        <xdr:graphicFrame macro="">
          <xdr:nvGraphicFramePr>
            <xdr:cNvPr id="55" name="Product Name">
              <a:extLst>
                <a:ext uri="{FF2B5EF4-FFF2-40B4-BE49-F238E27FC236}">
                  <a16:creationId xmlns:a16="http://schemas.microsoft.com/office/drawing/2014/main" id="{5E2F9636-8E53-4734-5357-D58DBF7DCDB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8133483" y="4472515"/>
              <a:ext cx="1403349" cy="2524125"/>
            </a:xfrm>
            <a:prstGeom prst="rect">
              <a:avLst/>
            </a:prstGeom>
            <a:solidFill>
              <a:prstClr val="white"/>
            </a:solidFill>
            <a:ln w="1">
              <a:solidFill>
                <a:prstClr val="green"/>
              </a:solidFill>
            </a:ln>
          </xdr:spPr>
          <xdr:txBody>
            <a:bodyPr vertOverflow="clip" horzOverflow="clip"/>
            <a:lstStyle/>
            <a:p>
              <a:r>
                <a:rPr lang="en-NF"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317501</xdr:colOff>
      <xdr:row>39</xdr:row>
      <xdr:rowOff>29633</xdr:rowOff>
    </xdr:from>
    <xdr:to>
      <xdr:col>32</xdr:col>
      <xdr:colOff>63500</xdr:colOff>
      <xdr:row>53</xdr:row>
      <xdr:rowOff>34925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E493A277-007B-3998-89F9-CFF17C95DCD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118668" y="7046383"/>
              <a:ext cx="1428749" cy="2524125"/>
            </a:xfrm>
            <a:prstGeom prst="rect">
              <a:avLst/>
            </a:prstGeom>
            <a:solidFill>
              <a:prstClr val="white"/>
            </a:solidFill>
            <a:ln w="1">
              <a:solidFill>
                <a:prstClr val="green"/>
              </a:solidFill>
            </a:ln>
          </xdr:spPr>
          <xdr:txBody>
            <a:bodyPr vertOverflow="clip" horzOverflow="clip"/>
            <a:lstStyle/>
            <a:p>
              <a:r>
                <a:rPr lang="en-NF"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245586</xdr:colOff>
      <xdr:row>0</xdr:row>
      <xdr:rowOff>172860</xdr:rowOff>
    </xdr:from>
    <xdr:to>
      <xdr:col>16</xdr:col>
      <xdr:colOff>495300</xdr:colOff>
      <xdr:row>21</xdr:row>
      <xdr:rowOff>63499</xdr:rowOff>
    </xdr:to>
    <xdr:sp macro="" textlink="">
      <xdr:nvSpPr>
        <xdr:cNvPr id="2" name="Rectangle: Rounded Corners 1">
          <a:extLst>
            <a:ext uri="{FF2B5EF4-FFF2-40B4-BE49-F238E27FC236}">
              <a16:creationId xmlns:a16="http://schemas.microsoft.com/office/drawing/2014/main" id="{E27E7563-93B3-45E0-8FAA-77993F06F1A8}"/>
            </a:ext>
          </a:extLst>
        </xdr:cNvPr>
        <xdr:cNvSpPr/>
      </xdr:nvSpPr>
      <xdr:spPr>
        <a:xfrm>
          <a:off x="245586" y="172860"/>
          <a:ext cx="10003314" cy="375778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002060"/>
              </a:solidFill>
              <a:latin typeface="Garamond" panose="02020404030301010803" pitchFamily="18" charset="0"/>
            </a:rPr>
            <a:t>General Observations</a:t>
          </a:r>
        </a:p>
        <a:p>
          <a:pPr algn="l"/>
          <a:r>
            <a:rPr lang="en-US" sz="1600" b="0">
              <a:solidFill>
                <a:srgbClr val="002060"/>
              </a:solidFill>
              <a:latin typeface="Garamond" panose="02020404030301010803" pitchFamily="18" charset="0"/>
            </a:rPr>
            <a:t>Andrew Cencini is from the eastern region, he has peak sales in june(11,595.00) and december(11,026.00) with majority of hes sales revenue generated from New</a:t>
          </a:r>
          <a:r>
            <a:rPr lang="en-US" sz="1600" b="0" baseline="0">
              <a:solidFill>
                <a:srgbClr val="002060"/>
              </a:solidFill>
              <a:latin typeface="Garamond" panose="02020404030301010803" pitchFamily="18" charset="0"/>
            </a:rPr>
            <a:t> york</a:t>
          </a:r>
          <a:r>
            <a:rPr lang="en-US" sz="1600" b="0">
              <a:solidFill>
                <a:srgbClr val="002060"/>
              </a:solidFill>
              <a:latin typeface="Garamond" panose="02020404030301010803" pitchFamily="18" charset="0"/>
            </a:rPr>
            <a:t> with top products sold to be james and preservatives and hes top customer is costomer D.</a:t>
          </a:r>
        </a:p>
        <a:p>
          <a:pPr algn="l"/>
          <a:endParaRPr lang="en-US" sz="1600" b="0">
            <a:solidFill>
              <a:srgbClr val="002060"/>
            </a:solidFill>
            <a:latin typeface="Garamond" panose="02020404030301010803" pitchFamily="18" charset="0"/>
          </a:endParaRPr>
        </a:p>
        <a:p>
          <a:pPr algn="l"/>
          <a:r>
            <a:rPr lang="en-US" sz="1600" b="0">
              <a:solidFill>
                <a:srgbClr val="002060"/>
              </a:solidFill>
              <a:latin typeface="Garamond" panose="02020404030301010803" pitchFamily="18" charset="0"/>
            </a:rPr>
            <a:t>Anne</a:t>
          </a:r>
          <a:r>
            <a:rPr lang="en-US" sz="1600" b="0" baseline="0">
              <a:solidFill>
                <a:srgbClr val="002060"/>
              </a:solidFill>
              <a:latin typeface="Garamond" panose="02020404030301010803" pitchFamily="18" charset="0"/>
            </a:rPr>
            <a:t> Larson is from the western region, her top sales month was december ith revenue of $12,458.47, top ship cities were miami and memphis,her top sales productwas berverages and her top customers were customer BB, customer Z and customer K. </a:t>
          </a:r>
        </a:p>
        <a:p>
          <a:pPr algn="l"/>
          <a:endParaRPr lang="en-US" sz="1600" b="0" baseline="0">
            <a:solidFill>
              <a:srgbClr val="002060"/>
            </a:solidFill>
            <a:latin typeface="Garamond" panose="02020404030301010803" pitchFamily="18" charset="0"/>
          </a:endParaRPr>
        </a:p>
        <a:p>
          <a:pPr algn="l"/>
          <a:r>
            <a:rPr lang="en-US" sz="1600" b="0">
              <a:solidFill>
                <a:srgbClr val="002060"/>
              </a:solidFill>
              <a:latin typeface="Garamond" panose="02020404030301010803" pitchFamily="18" charset="0"/>
            </a:rPr>
            <a:t>Jan Kotas is from the Western Region and he did best in the Month of June with a revenue of $4,928.His top ship city is Denver, best customer is Company CC and his most sold product categories are Beverages ($6,986.00) Fruits and Vegetables ($6,942.00).</a:t>
          </a:r>
        </a:p>
        <a:p>
          <a:pPr algn="l"/>
          <a:endParaRPr lang="en-US" sz="1600" b="0">
            <a:solidFill>
              <a:srgbClr val="002060"/>
            </a:solidFill>
            <a:latin typeface="Garamond" panose="02020404030301010803" pitchFamily="18" charset="0"/>
          </a:endParaRPr>
        </a:p>
        <a:p>
          <a:pPr algn="l"/>
          <a:r>
            <a:rPr lang="en-US" sz="1600" b="0">
              <a:solidFill>
                <a:srgbClr val="002060"/>
              </a:solidFill>
              <a:latin typeface="Garamond" panose="02020404030301010803" pitchFamily="18" charset="0"/>
            </a:rPr>
            <a:t>Robert Zare is from the western region and his top sales month was October with revenue of $4,542.85. Top ship city was Salt Lake City, top product sold was dairy products and top customer was company I.</a:t>
          </a:r>
        </a:p>
        <a:p>
          <a:pPr algn="l"/>
          <a:endParaRPr lang="en-US" sz="1600" b="0">
            <a:solidFill>
              <a:srgbClr val="002060"/>
            </a:solidFill>
            <a:latin typeface="Garamond" panose="02020404030301010803" pitchFamily="18" charset="0"/>
          </a:endParaRPr>
        </a:p>
        <a:p>
          <a:pPr algn="l"/>
          <a:endParaRPr lang="en-US" sz="1600" b="0">
            <a:solidFill>
              <a:srgbClr val="002060"/>
            </a:solidFill>
            <a:latin typeface="Garamond" panose="02020404030301010803" pitchFamily="18" charset="0"/>
          </a:endParaRPr>
        </a:p>
        <a:p>
          <a:pPr algn="ctr"/>
          <a:endParaRPr lang="en-US" sz="1600" b="1">
            <a:solidFill>
              <a:srgbClr val="002060"/>
            </a:solidFill>
          </a:endParaRPr>
        </a:p>
        <a:p>
          <a:pPr algn="l"/>
          <a:endParaRPr lang="en-US" sz="1800" b="0">
            <a:solidFill>
              <a:srgbClr val="002060"/>
            </a:solidFill>
          </a:endParaRPr>
        </a:p>
      </xdr:txBody>
    </xdr:sp>
    <xdr:clientData/>
  </xdr:twoCellAnchor>
  <xdr:twoCellAnchor>
    <xdr:from>
      <xdr:col>17</xdr:col>
      <xdr:colOff>444500</xdr:colOff>
      <xdr:row>22</xdr:row>
      <xdr:rowOff>162278</xdr:rowOff>
    </xdr:from>
    <xdr:to>
      <xdr:col>34</xdr:col>
      <xdr:colOff>209548</xdr:colOff>
      <xdr:row>43</xdr:row>
      <xdr:rowOff>101600</xdr:rowOff>
    </xdr:to>
    <xdr:sp macro="" textlink="">
      <xdr:nvSpPr>
        <xdr:cNvPr id="3" name="Rectangle: Rounded Corners 2">
          <a:extLst>
            <a:ext uri="{FF2B5EF4-FFF2-40B4-BE49-F238E27FC236}">
              <a16:creationId xmlns:a16="http://schemas.microsoft.com/office/drawing/2014/main" id="{C1652F42-5FA4-460D-83C6-893E43DBDA51}"/>
            </a:ext>
          </a:extLst>
        </xdr:cNvPr>
        <xdr:cNvSpPr/>
      </xdr:nvSpPr>
      <xdr:spPr>
        <a:xfrm>
          <a:off x="10807700" y="4213578"/>
          <a:ext cx="10128248" cy="38064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rgbClr val="002060"/>
              </a:solidFill>
              <a:effectLst/>
              <a:latin typeface="Garamond" panose="02020404030301010803" pitchFamily="18" charset="0"/>
              <a:ea typeface="+mn-ea"/>
              <a:cs typeface="+mn-cs"/>
            </a:rPr>
            <a:t>General</a:t>
          </a:r>
          <a:r>
            <a:rPr lang="en-US" sz="2000" b="1" baseline="0">
              <a:solidFill>
                <a:srgbClr val="002060"/>
              </a:solidFill>
              <a:effectLst/>
              <a:latin typeface="Garamond" panose="02020404030301010803" pitchFamily="18" charset="0"/>
              <a:ea typeface="+mn-ea"/>
              <a:cs typeface="+mn-cs"/>
            </a:rPr>
            <a:t> Recommendations</a:t>
          </a:r>
          <a:endParaRPr lang="en-NF" sz="2000">
            <a:solidFill>
              <a:srgbClr val="002060"/>
            </a:solidFill>
            <a:effectLst/>
            <a:latin typeface="Garamond" panose="02020404030301010803" pitchFamily="18" charset="0"/>
          </a:endParaRPr>
        </a:p>
        <a:p>
          <a:pPr algn="ctr"/>
          <a:endParaRPr lang="en-US" sz="2000" b="1">
            <a:solidFill>
              <a:srgbClr val="002060"/>
            </a:solidFill>
          </a:endParaRPr>
        </a:p>
        <a:p>
          <a:pPr algn="l"/>
          <a:endParaRPr lang="en-US" sz="1800" b="0">
            <a:solidFill>
              <a:srgbClr val="002060"/>
            </a:solidFill>
          </a:endParaRPr>
        </a:p>
      </xdr:txBody>
    </xdr:sp>
    <xdr:clientData/>
  </xdr:twoCellAnchor>
  <xdr:twoCellAnchor>
    <xdr:from>
      <xdr:col>0</xdr:col>
      <xdr:colOff>0</xdr:colOff>
      <xdr:row>23</xdr:row>
      <xdr:rowOff>98778</xdr:rowOff>
    </xdr:from>
    <xdr:to>
      <xdr:col>16</xdr:col>
      <xdr:colOff>402115</xdr:colOff>
      <xdr:row>44</xdr:row>
      <xdr:rowOff>101600</xdr:rowOff>
    </xdr:to>
    <xdr:sp macro="" textlink="">
      <xdr:nvSpPr>
        <xdr:cNvPr id="4" name="Rectangle: Rounded Corners 3">
          <a:extLst>
            <a:ext uri="{FF2B5EF4-FFF2-40B4-BE49-F238E27FC236}">
              <a16:creationId xmlns:a16="http://schemas.microsoft.com/office/drawing/2014/main" id="{5F842037-70F2-4C71-B206-7E79D0960932}"/>
            </a:ext>
          </a:extLst>
        </xdr:cNvPr>
        <xdr:cNvSpPr/>
      </xdr:nvSpPr>
      <xdr:spPr>
        <a:xfrm>
          <a:off x="0" y="4334228"/>
          <a:ext cx="10155715" cy="3869972"/>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Garamond" panose="02020404030301010803" pitchFamily="18" charset="0"/>
              <a:ea typeface="+mn-ea"/>
              <a:cs typeface="+mn-cs"/>
            </a:rPr>
            <a:t>General Observations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a:effectLst/>
              <a:latin typeface="Garamond" panose="02020404030301010803" pitchFamily="18" charset="0"/>
            </a:rPr>
            <a:t>Laura Giyssani is from the eastern region and her top sales month was June with a revenue of $6,700.60. Top ship city was Chicago , top customer was company J and companyY and her most sold product was condiments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a:effectLst/>
              <a:latin typeface="Garamond" panose="02020404030301010803" pitchFamily="18" charset="0"/>
            </a:rPr>
            <a:t>Mariya Sergienko is from the western region and her top sales month was December with revenue of $7,653.16. Top ship city was Los Angeles and Las Vegas, her top customers are company C, company L and company AA, and her most sold product is sauces.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a:effectLst/>
              <a:latin typeface="Garamond" panose="02020404030301010803" pitchFamily="18" charset="0"/>
            </a:rPr>
            <a:t>Michael Neipper is from the northern region and his top sales month was in October with revenue of $6,738.50.his top ship city was Milwaukee, top product sold is beverages and top customer is company F.</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effectLst/>
            <a:latin typeface="Garamond" panose="02020404030301010803" pitchFamily="18" charset="0"/>
          </a:endParaRPr>
        </a:p>
        <a:p>
          <a:pPr algn="l"/>
          <a:r>
            <a:rPr lang="en-US" sz="1800" b="0"/>
            <a:t>Nancy Freehafer is from the northern region of. Her top ship cities were Portland, Seattle and Boise, her top sales product sold was beverages and her top customers were company H, company A and company G.</a:t>
          </a:r>
        </a:p>
      </xdr:txBody>
    </xdr:sp>
    <xdr:clientData/>
  </xdr:twoCellAnchor>
  <xdr:twoCellAnchor>
    <xdr:from>
      <xdr:col>17</xdr:col>
      <xdr:colOff>355600</xdr:colOff>
      <xdr:row>0</xdr:row>
      <xdr:rowOff>152400</xdr:rowOff>
    </xdr:from>
    <xdr:to>
      <xdr:col>34</xdr:col>
      <xdr:colOff>120648</xdr:colOff>
      <xdr:row>21</xdr:row>
      <xdr:rowOff>91722</xdr:rowOff>
    </xdr:to>
    <xdr:sp macro="" textlink="">
      <xdr:nvSpPr>
        <xdr:cNvPr id="5" name="Rectangle: Rounded Corners 4">
          <a:extLst>
            <a:ext uri="{FF2B5EF4-FFF2-40B4-BE49-F238E27FC236}">
              <a16:creationId xmlns:a16="http://schemas.microsoft.com/office/drawing/2014/main" id="{DE4D4DBB-6B45-4EA9-A513-DCC8C3E1CEFE}"/>
            </a:ext>
          </a:extLst>
        </xdr:cNvPr>
        <xdr:cNvSpPr/>
      </xdr:nvSpPr>
      <xdr:spPr>
        <a:xfrm>
          <a:off x="10718800" y="152400"/>
          <a:ext cx="10128248" cy="3806472"/>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Garamond" panose="02020404030301010803" pitchFamily="18" charset="0"/>
              <a:ea typeface="+mn-ea"/>
              <a:cs typeface="+mn-cs"/>
            </a:rPr>
            <a:t>General</a:t>
          </a:r>
          <a:r>
            <a:rPr lang="en-US" sz="2000" b="1" baseline="0">
              <a:solidFill>
                <a:schemeClr val="lt1"/>
              </a:solidFill>
              <a:effectLst/>
              <a:latin typeface="Garamond" panose="02020404030301010803" pitchFamily="18" charset="0"/>
              <a:ea typeface="+mn-ea"/>
              <a:cs typeface="+mn-cs"/>
            </a:rPr>
            <a:t> Obsrvations</a:t>
          </a:r>
        </a:p>
        <a:p>
          <a:pPr marL="0" marR="0" lvl="0" indent="0" algn="ctr" defTabSz="914400" eaLnBrk="1" fontAlgn="auto" latinLnBrk="0" hangingPunct="1">
            <a:lnSpc>
              <a:spcPct val="100000"/>
            </a:lnSpc>
            <a:spcBef>
              <a:spcPts val="0"/>
            </a:spcBef>
            <a:spcAft>
              <a:spcPts val="0"/>
            </a:spcAft>
            <a:buClrTx/>
            <a:buSzTx/>
            <a:buFontTx/>
            <a:buNone/>
            <a:tabLst/>
            <a:defRPr/>
          </a:pPr>
          <a:endParaRPr lang="en-NF" sz="2000">
            <a:effectLst/>
            <a:latin typeface="Garamond" panose="02020404030301010803" pitchFamily="18" charset="0"/>
          </a:endParaRPr>
        </a:p>
        <a:p>
          <a:pPr algn="l"/>
          <a:r>
            <a:rPr lang="en-US" sz="1600" b="0">
              <a:latin typeface="Garamond" panose="02020404030301010803" pitchFamily="18" charset="0"/>
            </a:rPr>
            <a:t>sales tend to spike at certain times of the year especially in June, October, and December. While some people hit their best numbers in December, others do better mid-year, there’s a pattern of strong sales during these months.Beverages seem to be the star product for many of the team members, showing up as the top seller for almost half of them. Other popular categories include jams and preservatives, condiments, sauces, dairy, and fresh produce. </a:t>
          </a:r>
          <a:endParaRPr lang="en-US" sz="1600" b="1"/>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245586</xdr:colOff>
      <xdr:row>0</xdr:row>
      <xdr:rowOff>172860</xdr:rowOff>
    </xdr:from>
    <xdr:to>
      <xdr:col>16</xdr:col>
      <xdr:colOff>495300</xdr:colOff>
      <xdr:row>21</xdr:row>
      <xdr:rowOff>63499</xdr:rowOff>
    </xdr:to>
    <xdr:sp macro="" textlink="">
      <xdr:nvSpPr>
        <xdr:cNvPr id="2" name="Rectangle: Rounded Corners 1">
          <a:extLst>
            <a:ext uri="{FF2B5EF4-FFF2-40B4-BE49-F238E27FC236}">
              <a16:creationId xmlns:a16="http://schemas.microsoft.com/office/drawing/2014/main" id="{355921DD-68FE-49A1-8276-708DF1C3BA7E}"/>
            </a:ext>
          </a:extLst>
        </xdr:cNvPr>
        <xdr:cNvSpPr/>
      </xdr:nvSpPr>
      <xdr:spPr>
        <a:xfrm>
          <a:off x="245586" y="172860"/>
          <a:ext cx="10003314" cy="38911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002060"/>
              </a:solidFill>
              <a:latin typeface="Garamond" panose="02020404030301010803" pitchFamily="18" charset="0"/>
            </a:rPr>
            <a:t>General </a:t>
          </a:r>
          <a:r>
            <a:rPr lang="en-US" sz="2000" b="1" baseline="0">
              <a:solidFill>
                <a:srgbClr val="002060"/>
              </a:solidFill>
              <a:effectLst/>
              <a:latin typeface="Garamond" panose="02020404030301010803" pitchFamily="18" charset="0"/>
              <a:ea typeface="+mn-ea"/>
              <a:cs typeface="+mn-cs"/>
            </a:rPr>
            <a:t>Recommendations</a:t>
          </a:r>
        </a:p>
        <a:p>
          <a:pPr algn="ctr"/>
          <a:endParaRPr lang="en-US" sz="2000" b="1" baseline="0">
            <a:solidFill>
              <a:srgbClr val="002060"/>
            </a:solidFill>
            <a:effectLst/>
            <a:latin typeface="Garamond" panose="02020404030301010803" pitchFamily="18" charset="0"/>
            <a:ea typeface="+mn-ea"/>
            <a:cs typeface="+mn-cs"/>
          </a:endParaRPr>
        </a:p>
        <a:p>
          <a:pPr algn="l"/>
          <a:r>
            <a:rPr lang="en-US" sz="1800" b="0">
              <a:solidFill>
                <a:srgbClr val="002060"/>
              </a:solidFill>
              <a:latin typeface="Garamond" panose="02020404030301010803" pitchFamily="18" charset="0"/>
            </a:rPr>
            <a:t>Anne Larsen in the Southern Region, her best month is December, with strong beverage sales, especially in Miami and Memphis. To make the most of this, a holiday-themed beverage promotion from November through January would keep sales high and could lift Q4 sales by up to about 20%. Her top customers  BB, Z, and K </a:t>
          </a:r>
          <a:r>
            <a:rPr lang="en-US" sz="1800" b="0" baseline="0">
              <a:solidFill>
                <a:srgbClr val="002060"/>
              </a:solidFill>
              <a:latin typeface="Garamond" panose="02020404030301010803" pitchFamily="18" charset="0"/>
            </a:rPr>
            <a:t> </a:t>
          </a:r>
          <a:r>
            <a:rPr lang="en-US" sz="1800" b="0">
              <a:solidFill>
                <a:srgbClr val="002060"/>
              </a:solidFill>
              <a:latin typeface="Garamond" panose="02020404030301010803" pitchFamily="18" charset="0"/>
            </a:rPr>
            <a:t>are worth rewarding with loyalty perks so they keep coming back. Offering a seasonal, limited-edition beverage could help her stand out even more</a:t>
          </a:r>
        </a:p>
        <a:p>
          <a:pPr algn="l"/>
          <a:endParaRPr lang="en-US" sz="1800" b="0">
            <a:solidFill>
              <a:srgbClr val="002060"/>
            </a:solidFill>
            <a:latin typeface="Garamond" panose="02020404030301010803" pitchFamily="18" charset="0"/>
          </a:endParaRPr>
        </a:p>
        <a:p>
          <a:pPr algn="l"/>
          <a:r>
            <a:rPr lang="en-US" sz="1800" b="0">
              <a:solidFill>
                <a:srgbClr val="002060"/>
              </a:solidFill>
              <a:latin typeface="Garamond" panose="02020404030301010803" pitchFamily="18" charset="0"/>
            </a:rPr>
            <a:t>Jan Kotas in the Western Region had a great June sales, driven by beverages and fruits and vegetables, with Denver as his key shipping city. The straategy that worked in June should be repeated from May through August to get the most out of the summer period. Company CC, his best customer, should be offered bundled deals on both categories to push up order sizes. Over the longer term, more targeted ads in the Denver area could expand his reach.</a:t>
          </a:r>
        </a:p>
        <a:p>
          <a:pPr algn="l"/>
          <a:endParaRPr lang="en-US" sz="1800" b="0">
            <a:solidFill>
              <a:srgbClr val="002060"/>
            </a:solidFill>
            <a:latin typeface="Garamond" panose="02020404030301010803" pitchFamily="18" charset="0"/>
          </a:endParaRPr>
        </a:p>
        <a:p>
          <a:pPr algn="ctr"/>
          <a:endParaRPr lang="en-US" sz="1600" b="1">
            <a:solidFill>
              <a:srgbClr val="002060"/>
            </a:solidFill>
          </a:endParaRPr>
        </a:p>
        <a:p>
          <a:pPr algn="l"/>
          <a:endParaRPr lang="en-US" sz="1800" b="0">
            <a:solidFill>
              <a:srgbClr val="002060"/>
            </a:solidFill>
          </a:endParaRPr>
        </a:p>
      </xdr:txBody>
    </xdr:sp>
    <xdr:clientData/>
  </xdr:twoCellAnchor>
  <xdr:twoCellAnchor>
    <xdr:from>
      <xdr:col>17</xdr:col>
      <xdr:colOff>444500</xdr:colOff>
      <xdr:row>22</xdr:row>
      <xdr:rowOff>162278</xdr:rowOff>
    </xdr:from>
    <xdr:to>
      <xdr:col>34</xdr:col>
      <xdr:colOff>209548</xdr:colOff>
      <xdr:row>43</xdr:row>
      <xdr:rowOff>101600</xdr:rowOff>
    </xdr:to>
    <xdr:sp macro="" textlink="">
      <xdr:nvSpPr>
        <xdr:cNvPr id="9" name="Rectangle: Rounded Corners 8">
          <a:extLst>
            <a:ext uri="{FF2B5EF4-FFF2-40B4-BE49-F238E27FC236}">
              <a16:creationId xmlns:a16="http://schemas.microsoft.com/office/drawing/2014/main" id="{616289FE-8458-95C4-3987-DA08DB2A6E70}"/>
            </a:ext>
          </a:extLst>
        </xdr:cNvPr>
        <xdr:cNvSpPr/>
      </xdr:nvSpPr>
      <xdr:spPr>
        <a:xfrm>
          <a:off x="10807700" y="4353278"/>
          <a:ext cx="10128248" cy="393982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rgbClr val="002060"/>
              </a:solidFill>
              <a:effectLst/>
              <a:latin typeface="Garamond" panose="02020404030301010803" pitchFamily="18" charset="0"/>
              <a:ea typeface="+mn-ea"/>
              <a:cs typeface="+mn-cs"/>
            </a:rPr>
            <a:t>General</a:t>
          </a:r>
          <a:r>
            <a:rPr lang="en-US" sz="2000" b="1" baseline="0">
              <a:solidFill>
                <a:srgbClr val="002060"/>
              </a:solidFill>
              <a:effectLst/>
              <a:latin typeface="Garamond" panose="02020404030301010803" pitchFamily="18" charset="0"/>
              <a:ea typeface="+mn-ea"/>
              <a:cs typeface="+mn-cs"/>
            </a:rPr>
            <a:t> 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0">
              <a:solidFill>
                <a:srgbClr val="002060"/>
              </a:solidFill>
              <a:effectLst/>
              <a:latin typeface="Garamond" panose="02020404030301010803" pitchFamily="18" charset="0"/>
            </a:rPr>
            <a:t>Robert Zare in the Western Region has his best results in October with dairy products, shipping mainly to Salt Lake City. Repeating his October promotions in other months with similar demand patterns could add a nice sales bump. Bundling dairy products with baked goods for Company I could increase their order value. Tailored offers for customers in Salt Lake City would help him build deeper relationships in that market.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800" b="0">
            <a:solidFill>
              <a:srgbClr val="002060"/>
            </a:solidFill>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800" b="0">
              <a:solidFill>
                <a:srgbClr val="002060"/>
              </a:solidFill>
              <a:effectLst/>
              <a:latin typeface="Garamond" panose="02020404030301010803" pitchFamily="18" charset="0"/>
            </a:rPr>
            <a:t>Andrew Cencini, who operates in the Eastern region and shows peak sales in June ($11,595.00) and December ($11,026.00), with the majority of revenue coming from New York, it is recommended to increase</a:t>
          </a:r>
          <a:r>
            <a:rPr lang="en-US" sz="1800" b="0" baseline="0">
              <a:solidFill>
                <a:srgbClr val="002060"/>
              </a:solidFill>
              <a:effectLst/>
              <a:latin typeface="Garamond" panose="02020404030301010803" pitchFamily="18" charset="0"/>
            </a:rPr>
            <a:t> </a:t>
          </a:r>
          <a:r>
            <a:rPr lang="en-US" sz="1800" b="0">
              <a:solidFill>
                <a:srgbClr val="002060"/>
              </a:solidFill>
              <a:effectLst/>
              <a:latin typeface="Garamond" panose="02020404030301010803" pitchFamily="18" charset="0"/>
            </a:rPr>
            <a:t>marketing and promotional campaigns ahead of these peak months. Leveraging targeted campaigns in New York with a focus on his top-selling categories jams and preservaes</a:t>
          </a:r>
          <a:r>
            <a:rPr lang="en-US" sz="1800" b="0" baseline="0">
              <a:solidFill>
                <a:srgbClr val="002060"/>
              </a:solidFill>
              <a:effectLst/>
              <a:latin typeface="Garamond" panose="02020404030301010803" pitchFamily="18" charset="0"/>
            </a:rPr>
            <a:t> </a:t>
          </a:r>
          <a:r>
            <a:rPr lang="en-US" sz="1800" b="0">
              <a:solidFill>
                <a:srgbClr val="002060"/>
              </a:solidFill>
              <a:effectLst/>
              <a:latin typeface="Garamond" panose="02020404030301010803" pitchFamily="18" charset="0"/>
            </a:rPr>
            <a:t>can help capture more seasonal demand. Engaging more deeply with Customer D through loyalty programs or exclusive offers is recommended to strengthen retention and potentially increase order sizes. This approach is expected to boost seasonal sales by 10–15% and improve customer loyalty within the next 6–12 months. Priority: High.</a:t>
          </a:r>
          <a:endParaRPr lang="en-NF" sz="1800" b="0">
            <a:solidFill>
              <a:srgbClr val="002060"/>
            </a:solidFill>
            <a:effectLst/>
            <a:latin typeface="Garamond" panose="02020404030301010803" pitchFamily="18" charset="0"/>
          </a:endParaRPr>
        </a:p>
        <a:p>
          <a:pPr algn="ctr"/>
          <a:endParaRPr lang="en-US" sz="2000" b="1">
            <a:solidFill>
              <a:srgbClr val="002060"/>
            </a:solidFill>
          </a:endParaRPr>
        </a:p>
        <a:p>
          <a:pPr algn="l"/>
          <a:endParaRPr lang="en-US" sz="1800" b="0"/>
        </a:p>
      </xdr:txBody>
    </xdr:sp>
    <xdr:clientData/>
  </xdr:twoCellAnchor>
  <xdr:twoCellAnchor>
    <xdr:from>
      <xdr:col>0</xdr:col>
      <xdr:colOff>0</xdr:colOff>
      <xdr:row>23</xdr:row>
      <xdr:rowOff>98778</xdr:rowOff>
    </xdr:from>
    <xdr:to>
      <xdr:col>16</xdr:col>
      <xdr:colOff>402115</xdr:colOff>
      <xdr:row>44</xdr:row>
      <xdr:rowOff>101600</xdr:rowOff>
    </xdr:to>
    <xdr:sp macro="" textlink="">
      <xdr:nvSpPr>
        <xdr:cNvPr id="10" name="Rectangle: Rounded Corners 9">
          <a:extLst>
            <a:ext uri="{FF2B5EF4-FFF2-40B4-BE49-F238E27FC236}">
              <a16:creationId xmlns:a16="http://schemas.microsoft.com/office/drawing/2014/main" id="{0809C2F4-B8B7-8198-29BD-AEA0D043DD55}"/>
            </a:ext>
          </a:extLst>
        </xdr:cNvPr>
        <xdr:cNvSpPr/>
      </xdr:nvSpPr>
      <xdr:spPr>
        <a:xfrm>
          <a:off x="0" y="4480278"/>
          <a:ext cx="10155715" cy="4003322"/>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Garamond" panose="02020404030301010803" pitchFamily="18" charset="0"/>
              <a:ea typeface="+mn-ea"/>
              <a:cs typeface="+mn-cs"/>
            </a:rPr>
            <a:t>General </a:t>
          </a:r>
          <a:r>
            <a:rPr lang="en-US" sz="2000" b="1" baseline="0">
              <a:solidFill>
                <a:schemeClr val="lt1"/>
              </a:solidFill>
              <a:effectLst/>
              <a:latin typeface="Garamond" panose="02020404030301010803" pitchFamily="18" charset="0"/>
              <a:ea typeface="+mn-ea"/>
              <a:cs typeface="+mn-cs"/>
            </a:rPr>
            <a:t>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0">
              <a:solidFill>
                <a:schemeClr val="lt1"/>
              </a:solidFill>
              <a:effectLst/>
              <a:latin typeface="Garamond" panose="02020404030301010803" pitchFamily="18" charset="0"/>
              <a:ea typeface="+mn-ea"/>
              <a:cs typeface="+mn-cs"/>
            </a:rPr>
            <a:t>Laura Giyssani in the Eastern Region, June is her standout month with condiments as her top product and Chicago as her top shipping city. Using the same strategies in March and September could help boost sales during slower months. Bundling condiments with complementary items like sauces for Companies J and Y could lift her average order value. Building stronger ties with distributors in Chicago would help her stay visible in that market.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800" b="0">
            <a:solidFill>
              <a:schemeClr val="lt1"/>
            </a:solidFill>
            <a:effectLst/>
            <a:latin typeface="Garamond" panose="02020404030301010803" pitchFamily="18"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800" b="0">
              <a:solidFill>
                <a:schemeClr val="lt1"/>
              </a:solidFill>
              <a:effectLst/>
              <a:latin typeface="Garamond" panose="02020404030301010803" pitchFamily="18" charset="0"/>
              <a:ea typeface="+mn-ea"/>
              <a:cs typeface="+mn-cs"/>
            </a:rPr>
            <a:t>Mariya Sergienko in the Western Region also shines in December, with sauces as her main strength, and ships most to Los Angeles and Las Vegas. Extending her holiday promotions into January could help carry sales into the new year. Creating a premium “Chef’s Sauce Collection” for her top customers  Companies C, L, and AA  would tap into higher-margin opportunities. Taking part in food events in her top cities could also raise her profile over the next year</a:t>
          </a:r>
          <a:r>
            <a:rPr lang="en-US" sz="1600" b="0">
              <a:solidFill>
                <a:schemeClr val="lt1"/>
              </a:solidFill>
              <a:effectLst/>
              <a:latin typeface="Garamond" panose="02020404030301010803" pitchFamily="18" charset="0"/>
              <a:ea typeface="+mn-ea"/>
              <a:cs typeface="+mn-cs"/>
            </a:rPr>
            <a:t>.</a:t>
          </a:r>
        </a:p>
      </xdr:txBody>
    </xdr:sp>
    <xdr:clientData/>
  </xdr:twoCellAnchor>
  <xdr:twoCellAnchor>
    <xdr:from>
      <xdr:col>17</xdr:col>
      <xdr:colOff>355600</xdr:colOff>
      <xdr:row>0</xdr:row>
      <xdr:rowOff>152400</xdr:rowOff>
    </xdr:from>
    <xdr:to>
      <xdr:col>34</xdr:col>
      <xdr:colOff>120648</xdr:colOff>
      <xdr:row>21</xdr:row>
      <xdr:rowOff>91722</xdr:rowOff>
    </xdr:to>
    <xdr:sp macro="" textlink="">
      <xdr:nvSpPr>
        <xdr:cNvPr id="11" name="Rectangle: Rounded Corners 10">
          <a:extLst>
            <a:ext uri="{FF2B5EF4-FFF2-40B4-BE49-F238E27FC236}">
              <a16:creationId xmlns:a16="http://schemas.microsoft.com/office/drawing/2014/main" id="{0DAECD88-1B07-6F36-2C0F-EDF5E8863703}"/>
            </a:ext>
          </a:extLst>
        </xdr:cNvPr>
        <xdr:cNvSpPr/>
      </xdr:nvSpPr>
      <xdr:spPr>
        <a:xfrm>
          <a:off x="10718800" y="152400"/>
          <a:ext cx="10128248" cy="3939822"/>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Garamond" panose="02020404030301010803" pitchFamily="18" charset="0"/>
              <a:ea typeface="+mn-ea"/>
              <a:cs typeface="+mn-cs"/>
            </a:rPr>
            <a:t>General</a:t>
          </a:r>
          <a:r>
            <a:rPr lang="en-US" sz="2000" b="1" baseline="0">
              <a:solidFill>
                <a:schemeClr val="lt1"/>
              </a:solidFill>
              <a:effectLst/>
              <a:latin typeface="Garamond" panose="02020404030301010803" pitchFamily="18" charset="0"/>
              <a:ea typeface="+mn-ea"/>
              <a:cs typeface="+mn-cs"/>
            </a:rPr>
            <a:t> Recommendations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000" b="1" baseline="0">
            <a:solidFill>
              <a:schemeClr val="lt1"/>
            </a:solidFill>
            <a:effectLst/>
            <a:latin typeface="Garamond" panose="02020404030301010803" pitchFamily="18"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a:effectLst/>
              <a:latin typeface="Garamond" panose="02020404030301010803" pitchFamily="18" charset="0"/>
            </a:rPr>
            <a:t> </a:t>
          </a:r>
          <a:r>
            <a:rPr lang="en-US" sz="1800">
              <a:effectLst/>
              <a:latin typeface="Garamond" panose="02020404030301010803" pitchFamily="18" charset="0"/>
            </a:rPr>
            <a:t>Michael Neipper in the Northern Region, October is the month of</a:t>
          </a:r>
          <a:r>
            <a:rPr lang="en-US" sz="1800" baseline="0">
              <a:effectLst/>
              <a:latin typeface="Garamond" panose="02020404030301010803" pitchFamily="18" charset="0"/>
            </a:rPr>
            <a:t> sales,</a:t>
          </a:r>
          <a:r>
            <a:rPr lang="en-US" sz="1800">
              <a:effectLst/>
              <a:latin typeface="Garamond" panose="02020404030301010803" pitchFamily="18" charset="0"/>
            </a:rPr>
            <a:t> with beverages leading his sales. Running similar promotions from September through November would help increase more seasonal demand. His main customer, Company F, should get exclusive offers to keep them engaged and buying regularly. Longer term, looking for cities with similar traits to Milwaukee could open up new sales opportunities.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8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800">
              <a:effectLst/>
              <a:latin typeface="Garamond" panose="02020404030301010803" pitchFamily="18" charset="0"/>
            </a:rPr>
            <a:t>Nancy Freehafer, also in the Northern Region, has strong beverage sales in Portland, Seattle, and Boise. A loyalty program aimed at her top customers  H, A, and G . would encourage repeat business. Focused campaigns in those three cities could strengthen her position even further. Offering new types of beverages over the next few months would keep her range fresh and appealing.</a:t>
          </a:r>
          <a:endParaRPr lang="en-NF" sz="1800">
            <a:effectLst/>
            <a:latin typeface="Garamond" panose="02020404030301010803" pitchFamily="18" charset="0"/>
          </a:endParaRPr>
        </a:p>
        <a:p>
          <a:pPr algn="ctr"/>
          <a:endParaRPr lang="en-US" sz="2000" b="1"/>
        </a:p>
        <a:p>
          <a:pPr algn="l"/>
          <a:endParaRPr lang="en-US" sz="18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9.753950810184" createdVersion="8" refreshedVersion="8" minRefreshableVersion="3" recordCount="369" xr:uid="{18E846BB-988F-4E40-A811-97468BCE29E1}">
  <cacheSource type="worksheet">
    <worksheetSource ref="A1:Z370" sheet="Data"/>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ount="2">
        <s v="USA"/>
        <s v=" "/>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ntainsBlank="1" count="16">
        <s v="Beverages"/>
        <s v="Dried Fruit &amp; Nuts"/>
        <s v="Baked Goods &amp; Mixes"/>
        <s v="Candy"/>
        <s v="Soups"/>
        <s v="Sauces"/>
        <s v="Jams, Preserves"/>
        <s v="Condiments"/>
        <s v="Canned Meat"/>
        <s v="Pasta"/>
        <s v="Dairy Products"/>
        <m/>
        <s v="Fruit &amp; Veg"/>
        <s v="Oil"/>
        <s v="Grains"/>
        <s v="Shipping Fee " u="1"/>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14"/>
        </groupItems>
      </fieldGroup>
    </cacheField>
    <cacheField name="Months (Order Date)" numFmtId="0" databaseField="0">
      <fieldGroup base="1">
        <rangePr groupBy="months" startDate="2014-01-01T00:00:00" endDate="2014-12-30T00:00:00"/>
        <groupItems count="14">
          <s v="&lt;01/01/2014"/>
          <s v="Jan"/>
          <s v="Feb"/>
          <s v="Mar"/>
          <s v="Apr"/>
          <s v="May"/>
          <s v="Jun"/>
          <s v="Jul"/>
          <s v="Aug"/>
          <s v="Sept"/>
          <s v="Oct"/>
          <s v="Nov"/>
          <s v="Dec"/>
          <s v="&gt;30/12/2014"/>
        </groupItems>
      </fieldGroup>
    </cacheField>
  </cacheFields>
  <extLst>
    <ext xmlns:x14="http://schemas.microsoft.com/office/spreadsheetml/2009/9/main" uri="{725AE2AE-9491-48be-B2B4-4EB974FC3084}">
      <x14:pivotCacheDefinition pivotCacheId="987991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s v="Las Vegas"/>
    <x v="0"/>
    <n v="99999"/>
    <s v="USA"/>
    <x v="0"/>
    <x v="0"/>
    <d v="2014-01-29T00:00:00"/>
    <s v="Shipping Company B"/>
    <s v="Karen Toh"/>
    <s v="789 27th Street"/>
    <x v="0"/>
    <s v="NV"/>
    <n v="99999"/>
    <x v="0"/>
    <s v="Check"/>
    <x v="0"/>
    <x v="0"/>
    <n v="14"/>
    <n v="49"/>
    <x v="0"/>
    <n v="66.542000000000002"/>
  </r>
  <r>
    <n v="1002"/>
    <x v="0"/>
    <n v="27"/>
    <x v="0"/>
    <s v="789 27th Street"/>
    <s v="Las Vegas"/>
    <x v="0"/>
    <n v="99999"/>
    <s v="USA"/>
    <x v="0"/>
    <x v="0"/>
    <d v="2014-01-29T00:00:00"/>
    <s v="Shipping Company B"/>
    <s v="Karen Toh"/>
    <s v="789 27th Street"/>
    <x v="0"/>
    <s v="NV"/>
    <n v="99999"/>
    <x v="0"/>
    <s v="Check"/>
    <x v="1"/>
    <x v="1"/>
    <n v="3.5"/>
    <n v="47"/>
    <x v="1"/>
    <n v="16.6145"/>
  </r>
  <r>
    <n v="1003"/>
    <x v="1"/>
    <n v="4"/>
    <x v="1"/>
    <s v="123 4th Street"/>
    <s v="New York"/>
    <x v="1"/>
    <n v="99999"/>
    <s v="USA"/>
    <x v="1"/>
    <x v="1"/>
    <d v="2014-01-06T00:00:00"/>
    <s v="Shipping Company A"/>
    <s v="Christina Lee"/>
    <s v="123 4th Street"/>
    <x v="1"/>
    <s v="NY"/>
    <n v="99999"/>
    <x v="0"/>
    <s v="Credit Card"/>
    <x v="2"/>
    <x v="1"/>
    <n v="30"/>
    <n v="69"/>
    <x v="2"/>
    <n v="198.72"/>
  </r>
  <r>
    <n v="1004"/>
    <x v="1"/>
    <n v="4"/>
    <x v="1"/>
    <s v="123 4th Street"/>
    <s v="New York"/>
    <x v="1"/>
    <n v="99999"/>
    <s v="USA"/>
    <x v="1"/>
    <x v="1"/>
    <d v="2014-01-06T00:00:00"/>
    <s v="Shipping Company A"/>
    <s v="Christina Lee"/>
    <s v="123 4th Street"/>
    <x v="1"/>
    <s v="NY"/>
    <n v="99999"/>
    <x v="0"/>
    <s v="Credit Card"/>
    <x v="3"/>
    <x v="1"/>
    <n v="53"/>
    <n v="89"/>
    <x v="3"/>
    <n v="448.11500000000001"/>
  </r>
  <r>
    <n v="1005"/>
    <x v="1"/>
    <n v="4"/>
    <x v="1"/>
    <s v="123 4th Street"/>
    <s v="New York"/>
    <x v="1"/>
    <n v="99999"/>
    <s v="USA"/>
    <x v="1"/>
    <x v="1"/>
    <d v="2014-01-06T00:00:00"/>
    <s v="Shipping Company A"/>
    <s v="Christina Lee"/>
    <s v="123 4th Street"/>
    <x v="1"/>
    <s v="NY"/>
    <n v="99999"/>
    <x v="0"/>
    <s v="Credit Card"/>
    <x v="1"/>
    <x v="1"/>
    <n v="3.5"/>
    <n v="11"/>
    <x v="4"/>
    <n v="3.7345000000000002"/>
  </r>
  <r>
    <n v="1006"/>
    <x v="2"/>
    <n v="12"/>
    <x v="2"/>
    <s v="123 12th Street"/>
    <s v="Las Vegas"/>
    <x v="0"/>
    <n v="99999"/>
    <s v="USA"/>
    <x v="0"/>
    <x v="0"/>
    <d v="2014-01-14T00:00:00"/>
    <s v="Shipping Company B"/>
    <s v="John Edwards"/>
    <s v="123 12th Street"/>
    <x v="0"/>
    <s v="NV"/>
    <n v="99999"/>
    <x v="0"/>
    <s v="Credit Card"/>
    <x v="4"/>
    <x v="0"/>
    <n v="18"/>
    <n v="81"/>
    <x v="5"/>
    <n v="141.42600000000002"/>
  </r>
  <r>
    <n v="1007"/>
    <x v="2"/>
    <n v="12"/>
    <x v="2"/>
    <s v="123 12th Street"/>
    <s v="Las Vegas"/>
    <x v="0"/>
    <n v="99999"/>
    <s v="USA"/>
    <x v="0"/>
    <x v="0"/>
    <d v="2014-01-14T00:00:00"/>
    <s v="Shipping Company B"/>
    <s v="John Edwards"/>
    <s v="123 12th Street"/>
    <x v="0"/>
    <s v="NV"/>
    <n v="99999"/>
    <x v="0"/>
    <s v="Credit Card"/>
    <x v="5"/>
    <x v="0"/>
    <n v="46"/>
    <n v="44"/>
    <x v="6"/>
    <n v="198.352"/>
  </r>
  <r>
    <n v="1008"/>
    <x v="3"/>
    <n v="8"/>
    <x v="3"/>
    <s v="123 8th Street"/>
    <s v="Portland"/>
    <x v="2"/>
    <n v="99999"/>
    <s v="USA"/>
    <x v="2"/>
    <x v="2"/>
    <d v="2014-01-10T00:00:00"/>
    <s v="Shipping Company C"/>
    <s v="Elizabeth Andersen"/>
    <s v="123 8th Street"/>
    <x v="2"/>
    <s v="OR"/>
    <n v="99999"/>
    <x v="0"/>
    <s v="Credit Card"/>
    <x v="6"/>
    <x v="2"/>
    <n v="9.1999999999999993"/>
    <n v="38"/>
    <x v="7"/>
    <n v="36.008800000000001"/>
  </r>
  <r>
    <n v="1009"/>
    <x v="1"/>
    <n v="4"/>
    <x v="1"/>
    <s v="123 4th Street"/>
    <s v="New York"/>
    <x v="1"/>
    <n v="99999"/>
    <s v="USA"/>
    <x v="1"/>
    <x v="1"/>
    <d v="2014-01-06T00:00:00"/>
    <s v="Shipping Company C"/>
    <s v="Christina Lee"/>
    <s v="123 4th Street"/>
    <x v="1"/>
    <s v="NY"/>
    <n v="99999"/>
    <x v="0"/>
    <s v="Check"/>
    <x v="6"/>
    <x v="2"/>
    <n v="9.1999999999999993"/>
    <n v="88"/>
    <x v="8"/>
    <n v="79.340799999999987"/>
  </r>
  <r>
    <n v="1010"/>
    <x v="4"/>
    <n v="29"/>
    <x v="4"/>
    <s v="789 29th Street"/>
    <s v="Denver"/>
    <x v="3"/>
    <n v="99999"/>
    <s v="USA"/>
    <x v="3"/>
    <x v="0"/>
    <d v="2014-01-31T00:00:00"/>
    <s v="Shipping Company B"/>
    <s v="Soo Jung Lee"/>
    <s v="789 29th Street"/>
    <x v="3"/>
    <s v="CO"/>
    <n v="99999"/>
    <x v="0"/>
    <s v="Check"/>
    <x v="7"/>
    <x v="3"/>
    <n v="12.75"/>
    <n v="94"/>
    <x v="9"/>
    <n v="122.24700000000001"/>
  </r>
  <r>
    <n v="1011"/>
    <x v="5"/>
    <n v="3"/>
    <x v="5"/>
    <s v="123 3rd Street"/>
    <s v="Los Angelas"/>
    <x v="4"/>
    <n v="99999"/>
    <s v="USA"/>
    <x v="0"/>
    <x v="0"/>
    <d v="2014-01-05T00:00:00"/>
    <s v="Shipping Company B"/>
    <s v="Thomas Axerr"/>
    <s v="123 3rd Street"/>
    <x v="4"/>
    <s v="CA"/>
    <n v="99999"/>
    <x v="0"/>
    <s v="Cash"/>
    <x v="8"/>
    <x v="4"/>
    <n v="9.65"/>
    <n v="91"/>
    <x v="10"/>
    <n v="92.205749999999995"/>
  </r>
  <r>
    <n v="1012"/>
    <x v="6"/>
    <n v="6"/>
    <x v="6"/>
    <s v="123 6th Street"/>
    <s v="Milwaukee"/>
    <x v="5"/>
    <n v="99999"/>
    <s v="USA"/>
    <x v="4"/>
    <x v="2"/>
    <d v="2014-01-08T00:00:00"/>
    <s v="Shipping Company B"/>
    <s v="Francisco Pérez-Olaeta"/>
    <s v="123 6th Street"/>
    <x v="5"/>
    <s v="WI"/>
    <n v="99999"/>
    <x v="0"/>
    <s v="Credit Card"/>
    <x v="9"/>
    <x v="5"/>
    <n v="40"/>
    <n v="32"/>
    <x v="11"/>
    <n v="133.12"/>
  </r>
  <r>
    <n v="1013"/>
    <x v="7"/>
    <n v="28"/>
    <x v="7"/>
    <s v="789 28th Street"/>
    <s v="Memphis"/>
    <x v="6"/>
    <n v="99999"/>
    <s v="USA"/>
    <x v="5"/>
    <x v="3"/>
    <d v="2014-01-30T00:00:00"/>
    <s v="Shipping Company C"/>
    <s v="Amritansh Raghav"/>
    <s v="789 28th Street"/>
    <x v="6"/>
    <s v="TN"/>
    <n v="99999"/>
    <x v="1"/>
    <s v="Check"/>
    <x v="5"/>
    <x v="0"/>
    <n v="46"/>
    <n v="55"/>
    <x v="12"/>
    <n v="253"/>
  </r>
  <r>
    <n v="1014"/>
    <x v="3"/>
    <n v="8"/>
    <x v="3"/>
    <s v="123 8th Street"/>
    <s v="Portland"/>
    <x v="2"/>
    <n v="99999"/>
    <s v="USA"/>
    <x v="2"/>
    <x v="2"/>
    <d v="2014-01-10T00:00:00"/>
    <s v="Shipping Company C"/>
    <s v="Elizabeth Andersen"/>
    <s v="123 8th Street"/>
    <x v="2"/>
    <s v="OR"/>
    <n v="99999"/>
    <x v="0"/>
    <s v="Check"/>
    <x v="7"/>
    <x v="3"/>
    <n v="12.75"/>
    <n v="47"/>
    <x v="13"/>
    <n v="61.722750000000005"/>
  </r>
  <r>
    <n v="1015"/>
    <x v="8"/>
    <n v="10"/>
    <x v="8"/>
    <s v="123 10th Street"/>
    <s v="Chicago"/>
    <x v="7"/>
    <n v="99999"/>
    <s v="USA"/>
    <x v="6"/>
    <x v="1"/>
    <d v="2014-01-12T00:00:00"/>
    <s v="Shipping Company B"/>
    <s v="Roland Wacker"/>
    <s v="123 10th Street"/>
    <x v="7"/>
    <s v="IL"/>
    <n v="99999"/>
    <x v="0"/>
    <s v="Credit Card"/>
    <x v="10"/>
    <x v="0"/>
    <n v="2.99"/>
    <n v="90"/>
    <x v="14"/>
    <n v="27.717300000000005"/>
  </r>
  <r>
    <n v="1016"/>
    <x v="9"/>
    <n v="7"/>
    <x v="9"/>
    <s v="123 7th Street"/>
    <s v="Boise"/>
    <x v="8"/>
    <n v="99999"/>
    <s v="USA"/>
    <x v="2"/>
    <x v="2"/>
    <m/>
    <m/>
    <s v="Ming-Yang Xie"/>
    <s v="123 7th Street"/>
    <x v="8"/>
    <s v="ID"/>
    <n v="99999"/>
    <x v="0"/>
    <m/>
    <x v="5"/>
    <x v="0"/>
    <n v="46"/>
    <n v="24"/>
    <x v="15"/>
    <n v="110.4"/>
  </r>
  <r>
    <n v="1017"/>
    <x v="8"/>
    <n v="10"/>
    <x v="8"/>
    <s v="123 10th Street"/>
    <s v="Chicago"/>
    <x v="7"/>
    <n v="99999"/>
    <s v="USA"/>
    <x v="6"/>
    <x v="1"/>
    <d v="2014-01-12T00:00:00"/>
    <s v="Shipping Company A"/>
    <s v="Roland Wacker"/>
    <s v="123 10th Street"/>
    <x v="7"/>
    <s v="IL"/>
    <n v="99999"/>
    <x v="0"/>
    <m/>
    <x v="11"/>
    <x v="6"/>
    <n v="25"/>
    <n v="34"/>
    <x v="16"/>
    <n v="80.75"/>
  </r>
  <r>
    <n v="1018"/>
    <x v="8"/>
    <n v="10"/>
    <x v="8"/>
    <s v="123 10th Street"/>
    <s v="Chicago"/>
    <x v="7"/>
    <n v="99999"/>
    <s v="USA"/>
    <x v="6"/>
    <x v="1"/>
    <d v="2014-01-12T00:00:00"/>
    <s v="Shipping Company A"/>
    <s v="Roland Wacker"/>
    <s v="123 10th Street"/>
    <x v="7"/>
    <s v="IL"/>
    <n v="99999"/>
    <x v="0"/>
    <m/>
    <x v="12"/>
    <x v="7"/>
    <n v="22"/>
    <n v="17"/>
    <x v="17"/>
    <n v="35.903999999999996"/>
  </r>
  <r>
    <n v="1019"/>
    <x v="8"/>
    <n v="10"/>
    <x v="8"/>
    <s v="123 10th Street"/>
    <s v="Chicago"/>
    <x v="7"/>
    <n v="99999"/>
    <s v="USA"/>
    <x v="6"/>
    <x v="1"/>
    <d v="2014-01-12T00:00:00"/>
    <s v="Shipping Company A"/>
    <s v="Roland Wacker"/>
    <s v="123 10th Street"/>
    <x v="7"/>
    <s v="IL"/>
    <n v="99999"/>
    <x v="0"/>
    <m/>
    <x v="6"/>
    <x v="2"/>
    <n v="9.1999999999999993"/>
    <n v="44"/>
    <x v="18"/>
    <n v="42.099199999999996"/>
  </r>
  <r>
    <n v="1020"/>
    <x v="10"/>
    <n v="11"/>
    <x v="10"/>
    <s v="123 11th Street"/>
    <s v="Miami"/>
    <x v="9"/>
    <n v="99999"/>
    <s v="USA"/>
    <x v="5"/>
    <x v="3"/>
    <m/>
    <s v="Shipping Company C"/>
    <s v="Peter Krschne"/>
    <s v="123 11th Street"/>
    <x v="9"/>
    <s v="FL"/>
    <n v="99999"/>
    <x v="0"/>
    <m/>
    <x v="1"/>
    <x v="1"/>
    <n v="3.5"/>
    <n v="81"/>
    <x v="19"/>
    <n v="27.499500000000001"/>
  </r>
  <r>
    <n v="1021"/>
    <x v="10"/>
    <n v="11"/>
    <x v="10"/>
    <s v="123 11th Street"/>
    <s v="Miami"/>
    <x v="9"/>
    <n v="99999"/>
    <s v="USA"/>
    <x v="5"/>
    <x v="3"/>
    <m/>
    <s v="Shipping Company C"/>
    <s v="Peter Krschne"/>
    <s v="123 11th Street"/>
    <x v="9"/>
    <s v="FL"/>
    <n v="99999"/>
    <x v="0"/>
    <m/>
    <x v="10"/>
    <x v="0"/>
    <n v="2.99"/>
    <n v="49"/>
    <x v="20"/>
    <n v="15.090530000000005"/>
  </r>
  <r>
    <n v="1022"/>
    <x v="11"/>
    <n v="1"/>
    <x v="11"/>
    <s v="123 1st Street"/>
    <s v="Seattle"/>
    <x v="10"/>
    <n v="99999"/>
    <s v="USA"/>
    <x v="2"/>
    <x v="2"/>
    <m/>
    <m/>
    <s v="Anna Bedecs"/>
    <s v="123 1st Street"/>
    <x v="10"/>
    <s v="WA"/>
    <n v="99999"/>
    <x v="0"/>
    <m/>
    <x v="4"/>
    <x v="0"/>
    <n v="18"/>
    <n v="42"/>
    <x v="21"/>
    <n v="75.600000000000009"/>
  </r>
  <r>
    <n v="1023"/>
    <x v="11"/>
    <n v="1"/>
    <x v="11"/>
    <s v="123 1st Street"/>
    <s v="Seattle"/>
    <x v="10"/>
    <n v="99999"/>
    <s v="USA"/>
    <x v="2"/>
    <x v="2"/>
    <m/>
    <m/>
    <s v="Anna Bedecs"/>
    <s v="123 1st Street"/>
    <x v="10"/>
    <s v="WA"/>
    <n v="99999"/>
    <x v="0"/>
    <m/>
    <x v="5"/>
    <x v="0"/>
    <n v="46"/>
    <n v="58"/>
    <x v="22"/>
    <n v="269.46800000000002"/>
  </r>
  <r>
    <n v="1024"/>
    <x v="11"/>
    <n v="1"/>
    <x v="11"/>
    <s v="123 1st Street"/>
    <s v="Seattle"/>
    <x v="10"/>
    <n v="99999"/>
    <s v="USA"/>
    <x v="2"/>
    <x v="2"/>
    <m/>
    <m/>
    <s v="Anna Bedecs"/>
    <s v="123 1st Street"/>
    <x v="10"/>
    <s v="WA"/>
    <n v="99999"/>
    <x v="0"/>
    <m/>
    <x v="10"/>
    <x v="0"/>
    <n v="2.99"/>
    <n v="67"/>
    <x v="23"/>
    <n v="20.033000000000001"/>
  </r>
  <r>
    <n v="1025"/>
    <x v="7"/>
    <n v="28"/>
    <x v="7"/>
    <s v="789 28th Street"/>
    <s v="Memphis"/>
    <x v="6"/>
    <n v="99999"/>
    <s v="USA"/>
    <x v="5"/>
    <x v="3"/>
    <d v="2014-01-30T00:00:00"/>
    <s v="Shipping Company C"/>
    <s v="Amritansh Raghav"/>
    <s v="789 28th Street"/>
    <x v="6"/>
    <s v="TN"/>
    <n v="99999"/>
    <x v="0"/>
    <s v="Credit Card"/>
    <x v="8"/>
    <x v="4"/>
    <n v="9.65"/>
    <n v="100"/>
    <x v="24"/>
    <n v="93.605000000000004"/>
  </r>
  <r>
    <n v="1026"/>
    <x v="7"/>
    <n v="28"/>
    <x v="7"/>
    <s v="789 28th Street"/>
    <s v="Memphis"/>
    <x v="6"/>
    <n v="99999"/>
    <s v="USA"/>
    <x v="5"/>
    <x v="3"/>
    <d v="2014-01-30T00:00:00"/>
    <s v="Shipping Company C"/>
    <s v="Amritansh Raghav"/>
    <s v="789 28th Street"/>
    <x v="6"/>
    <s v="TN"/>
    <n v="99999"/>
    <x v="0"/>
    <s v="Credit Card"/>
    <x v="13"/>
    <x v="8"/>
    <n v="18.399999999999999"/>
    <n v="63"/>
    <x v="25"/>
    <n v="114.76079999999999"/>
  </r>
  <r>
    <n v="1027"/>
    <x v="12"/>
    <n v="9"/>
    <x v="12"/>
    <s v="123 9th Street"/>
    <s v="Salt Lake City"/>
    <x v="11"/>
    <n v="99999"/>
    <s v="USA"/>
    <x v="7"/>
    <x v="0"/>
    <d v="2014-01-11T00:00:00"/>
    <s v="Shipping Company A"/>
    <s v="Sven Mortensen"/>
    <s v="123 9th Street"/>
    <x v="11"/>
    <s v="UT"/>
    <n v="99999"/>
    <x v="0"/>
    <s v="Check"/>
    <x v="14"/>
    <x v="9"/>
    <n v="19.5"/>
    <n v="57"/>
    <x v="26"/>
    <n v="110.0385"/>
  </r>
  <r>
    <n v="1028"/>
    <x v="12"/>
    <n v="9"/>
    <x v="12"/>
    <s v="123 9th Street"/>
    <s v="Salt Lake City"/>
    <x v="11"/>
    <n v="99999"/>
    <s v="USA"/>
    <x v="7"/>
    <x v="0"/>
    <d v="2014-01-11T00:00:00"/>
    <s v="Shipping Company A"/>
    <s v="Sven Mortensen"/>
    <s v="123 9th Street"/>
    <x v="11"/>
    <s v="UT"/>
    <n v="99999"/>
    <x v="0"/>
    <s v="Check"/>
    <x v="15"/>
    <x v="10"/>
    <n v="34.799999999999997"/>
    <n v="81"/>
    <x v="27"/>
    <n v="295.97399999999999"/>
  </r>
  <r>
    <n v="1029"/>
    <x v="6"/>
    <n v="6"/>
    <x v="6"/>
    <s v="123 6th Street"/>
    <s v="Milwaukee"/>
    <x v="5"/>
    <n v="99999"/>
    <s v="USA"/>
    <x v="4"/>
    <x v="2"/>
    <d v="2014-01-08T00:00:00"/>
    <s v="Shipping Company B"/>
    <s v="Francisco Pérez-Olaeta"/>
    <s v="123 6th Street"/>
    <x v="5"/>
    <s v="WI"/>
    <n v="99999"/>
    <x v="0"/>
    <s v="Credit Card"/>
    <x v="0"/>
    <x v="0"/>
    <n v="14"/>
    <n v="71"/>
    <x v="28"/>
    <n v="95.424000000000007"/>
  </r>
  <r>
    <n v="1030"/>
    <x v="13"/>
    <n v="8"/>
    <x v="3"/>
    <s v="123 8th Street"/>
    <s v="Portland"/>
    <x v="2"/>
    <n v="99999"/>
    <s v="USA"/>
    <x v="2"/>
    <x v="2"/>
    <d v="2014-02-10T00:00:00"/>
    <s v="Shipping Company B"/>
    <s v="Elizabeth Andersen"/>
    <s v="123 8th Street"/>
    <x v="2"/>
    <s v="OR"/>
    <n v="99999"/>
    <x v="0"/>
    <s v="Check"/>
    <x v="9"/>
    <x v="5"/>
    <n v="40"/>
    <n v="32"/>
    <x v="11"/>
    <n v="129.28"/>
  </r>
  <r>
    <n v="1031"/>
    <x v="14"/>
    <n v="3"/>
    <x v="5"/>
    <s v="123 3rd Street"/>
    <s v="Los Angelas"/>
    <x v="4"/>
    <n v="99999"/>
    <s v="USA"/>
    <x v="0"/>
    <x v="0"/>
    <d v="2014-02-05T00:00:00"/>
    <s v="Shipping Company B"/>
    <s v="Thomas Axerr"/>
    <s v="123 3rd Street"/>
    <x v="4"/>
    <s v="CA"/>
    <n v="99999"/>
    <x v="0"/>
    <s v="Cash"/>
    <x v="16"/>
    <x v="7"/>
    <n v="10"/>
    <n v="63"/>
    <x v="29"/>
    <n v="65.52"/>
  </r>
  <r>
    <n v="1032"/>
    <x v="14"/>
    <n v="3"/>
    <x v="5"/>
    <s v="123 3rd Street"/>
    <s v="Los Angelas"/>
    <x v="4"/>
    <n v="99999"/>
    <s v="USA"/>
    <x v="0"/>
    <x v="0"/>
    <d v="2014-02-05T00:00:00"/>
    <s v="Shipping Company B"/>
    <s v="Thomas Axerr"/>
    <s v="123 3rd Street"/>
    <x v="4"/>
    <s v="CA"/>
    <n v="99999"/>
    <x v="0"/>
    <s v="Cash"/>
    <x v="9"/>
    <x v="5"/>
    <n v="40"/>
    <n v="30"/>
    <x v="30"/>
    <n v="120"/>
  </r>
  <r>
    <n v="1033"/>
    <x v="15"/>
    <n v="6"/>
    <x v="6"/>
    <s v="123 6th Street"/>
    <s v="Milwaukee"/>
    <x v="5"/>
    <n v="99999"/>
    <s v="USA"/>
    <x v="4"/>
    <x v="2"/>
    <d v="2014-02-08T00:00:00"/>
    <s v="Shipping Company B"/>
    <s v="Francisco Pérez-Olaeta"/>
    <s v="123 6th Street"/>
    <x v="5"/>
    <s v="WI"/>
    <n v="99999"/>
    <x v="0"/>
    <s v="Credit Card"/>
    <x v="17"/>
    <x v="11"/>
    <m/>
    <m/>
    <x v="31"/>
    <n v="43"/>
  </r>
  <r>
    <n v="1034"/>
    <x v="16"/>
    <n v="28"/>
    <x v="7"/>
    <s v="789 28th Street"/>
    <s v="Memphis"/>
    <x v="6"/>
    <n v="99999"/>
    <s v="USA"/>
    <x v="5"/>
    <x v="3"/>
    <d v="2014-03-02T00:00:00"/>
    <s v="Shipping Company C"/>
    <s v="Amritansh Raghav"/>
    <s v="789 28th Street"/>
    <x v="6"/>
    <s v="TN"/>
    <n v="99999"/>
    <x v="0"/>
    <s v="Check"/>
    <x v="17"/>
    <x v="11"/>
    <m/>
    <m/>
    <x v="31"/>
    <n v="31"/>
  </r>
  <r>
    <n v="1035"/>
    <x v="13"/>
    <n v="8"/>
    <x v="3"/>
    <s v="123 8th Street"/>
    <s v="Portland"/>
    <x v="2"/>
    <n v="99999"/>
    <s v="USA"/>
    <x v="2"/>
    <x v="2"/>
    <d v="2014-02-10T00:00:00"/>
    <s v="Shipping Company C"/>
    <s v="Elizabeth Andersen"/>
    <s v="123 8th Street"/>
    <x v="2"/>
    <s v="OR"/>
    <n v="99999"/>
    <x v="0"/>
    <s v="Check"/>
    <x v="17"/>
    <x v="11"/>
    <m/>
    <m/>
    <x v="31"/>
    <n v="46"/>
  </r>
  <r>
    <n v="1036"/>
    <x v="17"/>
    <n v="10"/>
    <x v="8"/>
    <s v="123 10th Street"/>
    <s v="Chicago"/>
    <x v="7"/>
    <n v="99999"/>
    <s v="USA"/>
    <x v="6"/>
    <x v="1"/>
    <d v="2014-02-12T00:00:00"/>
    <s v="Shipping Company B"/>
    <s v="Roland Wacker"/>
    <s v="123 10th Street"/>
    <x v="7"/>
    <s v="IL"/>
    <n v="99999"/>
    <x v="0"/>
    <s v="Credit Card"/>
    <x v="18"/>
    <x v="1"/>
    <n v="10"/>
    <n v="47"/>
    <x v="32"/>
    <n v="48.88"/>
  </r>
  <r>
    <n v="1038"/>
    <x v="17"/>
    <n v="10"/>
    <x v="8"/>
    <s v="123 10th Street"/>
    <s v="Chicago"/>
    <x v="7"/>
    <n v="99999"/>
    <s v="USA"/>
    <x v="6"/>
    <x v="1"/>
    <m/>
    <s v="Shipping Company A"/>
    <s v="Roland Wacker"/>
    <s v="123 10th Street"/>
    <x v="7"/>
    <s v="IL"/>
    <n v="99999"/>
    <x v="0"/>
    <m/>
    <x v="1"/>
    <x v="1"/>
    <n v="3.5"/>
    <n v="49"/>
    <x v="33"/>
    <n v="16.464000000000002"/>
  </r>
  <r>
    <n v="1039"/>
    <x v="18"/>
    <n v="11"/>
    <x v="10"/>
    <s v="123 11th Street"/>
    <s v="Miami"/>
    <x v="9"/>
    <n v="99999"/>
    <s v="USA"/>
    <x v="5"/>
    <x v="3"/>
    <m/>
    <s v="Shipping Company C"/>
    <s v="Peter Krschne"/>
    <s v="123 11th Street"/>
    <x v="9"/>
    <s v="FL"/>
    <n v="99999"/>
    <x v="0"/>
    <m/>
    <x v="9"/>
    <x v="5"/>
    <n v="40"/>
    <n v="72"/>
    <x v="34"/>
    <n v="285.12"/>
  </r>
  <r>
    <n v="1040"/>
    <x v="19"/>
    <n v="1"/>
    <x v="11"/>
    <s v="123 1st Street"/>
    <s v="Seattle"/>
    <x v="10"/>
    <n v="99999"/>
    <s v="USA"/>
    <x v="2"/>
    <x v="2"/>
    <m/>
    <s v="Shipping Company C"/>
    <s v="Anna Bedecs"/>
    <s v="123 1st Street"/>
    <x v="10"/>
    <s v="WA"/>
    <n v="99999"/>
    <x v="0"/>
    <m/>
    <x v="13"/>
    <x v="8"/>
    <n v="18.399999999999999"/>
    <n v="13"/>
    <x v="35"/>
    <n v="23.680800000000001"/>
  </r>
  <r>
    <n v="1041"/>
    <x v="16"/>
    <n v="28"/>
    <x v="7"/>
    <s v="789 28th Street"/>
    <s v="Memphis"/>
    <x v="6"/>
    <n v="99999"/>
    <s v="USA"/>
    <x v="5"/>
    <x v="3"/>
    <n v="41700"/>
    <s v="Shipping Company C"/>
    <s v="Amritansh Raghav"/>
    <s v="789 28th Street"/>
    <x v="6"/>
    <s v="TN"/>
    <n v="99999"/>
    <x v="0"/>
    <s v="Credit Card"/>
    <x v="5"/>
    <x v="0"/>
    <n v="46"/>
    <n v="32"/>
    <x v="36"/>
    <n v="148.67200000000003"/>
  </r>
  <r>
    <n v="1042"/>
    <x v="20"/>
    <n v="9"/>
    <x v="12"/>
    <s v="123 9th Street"/>
    <s v="Salt Lake City"/>
    <x v="11"/>
    <n v="99999"/>
    <s v="USA"/>
    <x v="7"/>
    <x v="0"/>
    <d v="2014-02-11T00:00:00"/>
    <s v="Shipping Company A"/>
    <s v="Sven Mortensen"/>
    <s v="123 9th Street"/>
    <x v="11"/>
    <s v="UT"/>
    <n v="99999"/>
    <x v="0"/>
    <s v="Check"/>
    <x v="8"/>
    <x v="4"/>
    <n v="9.65"/>
    <n v="27"/>
    <x v="37"/>
    <n v="24.752250000000004"/>
  </r>
  <r>
    <n v="1043"/>
    <x v="15"/>
    <n v="6"/>
    <x v="6"/>
    <s v="123 6th Street"/>
    <s v="Milwaukee"/>
    <x v="5"/>
    <n v="99999"/>
    <s v="USA"/>
    <x v="4"/>
    <x v="2"/>
    <d v="2014-02-08T00:00:00"/>
    <s v="Shipping Company B"/>
    <s v="Francisco Pérez-Olaeta"/>
    <s v="123 6th Street"/>
    <x v="5"/>
    <s v="WI"/>
    <n v="99999"/>
    <x v="0"/>
    <s v="Credit Card"/>
    <x v="7"/>
    <x v="3"/>
    <n v="12.75"/>
    <n v="71"/>
    <x v="38"/>
    <n v="91.430250000000001"/>
  </r>
  <r>
    <n v="1044"/>
    <x v="13"/>
    <n v="8"/>
    <x v="3"/>
    <s v="123 8th Street"/>
    <s v="Portland"/>
    <x v="2"/>
    <n v="99999"/>
    <s v="USA"/>
    <x v="2"/>
    <x v="2"/>
    <d v="2014-02-10T00:00:00"/>
    <s v="Shipping Company B"/>
    <s v="Elizabeth Andersen"/>
    <s v="123 8th Street"/>
    <x v="2"/>
    <s v="OR"/>
    <n v="99999"/>
    <x v="0"/>
    <s v="Check"/>
    <x v="7"/>
    <x v="3"/>
    <n v="12.75"/>
    <n v="13"/>
    <x v="39"/>
    <n v="15.746249999999998"/>
  </r>
  <r>
    <n v="1045"/>
    <x v="21"/>
    <n v="25"/>
    <x v="13"/>
    <s v="789 25th Street"/>
    <s v="Chicago"/>
    <x v="7"/>
    <n v="99999"/>
    <s v="USA"/>
    <x v="6"/>
    <x v="1"/>
    <d v="2014-02-27T00:00:00"/>
    <s v="Shipping Company A"/>
    <s v="John Rodman"/>
    <s v="789 25th Street"/>
    <x v="7"/>
    <s v="IL"/>
    <n v="99999"/>
    <x v="0"/>
    <s v="Cash"/>
    <x v="12"/>
    <x v="7"/>
    <n v="22"/>
    <n v="98"/>
    <x v="40"/>
    <n v="204.82000000000002"/>
  </r>
  <r>
    <n v="1046"/>
    <x v="22"/>
    <n v="26"/>
    <x v="14"/>
    <s v="789 26th Street"/>
    <s v="Miami"/>
    <x v="9"/>
    <n v="99999"/>
    <s v="USA"/>
    <x v="5"/>
    <x v="3"/>
    <d v="2014-02-28T00:00:00"/>
    <s v="Shipping Company C"/>
    <s v="Run Liu"/>
    <s v="789 26th Street"/>
    <x v="9"/>
    <s v="FL"/>
    <n v="99999"/>
    <x v="0"/>
    <s v="Credit Card"/>
    <x v="11"/>
    <x v="6"/>
    <n v="25"/>
    <n v="21"/>
    <x v="41"/>
    <n v="53.550000000000004"/>
  </r>
  <r>
    <n v="1047"/>
    <x v="23"/>
    <n v="29"/>
    <x v="4"/>
    <s v="789 29th Street"/>
    <s v="Denver"/>
    <x v="3"/>
    <n v="99999"/>
    <s v="USA"/>
    <x v="3"/>
    <x v="0"/>
    <d v="2014-03-03T00:00:00"/>
    <s v="Shipping Company B"/>
    <s v="Soo Jung Lee"/>
    <s v="789 29th Street"/>
    <x v="3"/>
    <s v="CO"/>
    <n v="99999"/>
    <x v="0"/>
    <s v="Check"/>
    <x v="19"/>
    <x v="12"/>
    <n v="39"/>
    <n v="26"/>
    <x v="42"/>
    <n v="106.47000000000001"/>
  </r>
  <r>
    <n v="1048"/>
    <x v="15"/>
    <n v="6"/>
    <x v="6"/>
    <s v="123 6th Street"/>
    <s v="Milwaukee"/>
    <x v="5"/>
    <n v="99999"/>
    <s v="USA"/>
    <x v="4"/>
    <x v="2"/>
    <d v="2014-02-08T00:00:00"/>
    <s v="Shipping Company C"/>
    <s v="Francisco Pérez-Olaeta"/>
    <s v="123 6th Street"/>
    <x v="5"/>
    <s v="WI"/>
    <n v="99999"/>
    <x v="0"/>
    <s v="Check"/>
    <x v="2"/>
    <x v="1"/>
    <n v="30"/>
    <n v="96"/>
    <x v="34"/>
    <n v="296.64"/>
  </r>
  <r>
    <n v="1049"/>
    <x v="15"/>
    <n v="6"/>
    <x v="6"/>
    <s v="123 6th Street"/>
    <s v="Milwaukee"/>
    <x v="5"/>
    <n v="99999"/>
    <s v="USA"/>
    <x v="4"/>
    <x v="2"/>
    <d v="2014-02-08T00:00:00"/>
    <s v="Shipping Company C"/>
    <s v="Francisco Pérez-Olaeta"/>
    <s v="123 6th Street"/>
    <x v="5"/>
    <s v="WI"/>
    <n v="99999"/>
    <x v="0"/>
    <s v="Check"/>
    <x v="3"/>
    <x v="1"/>
    <n v="53"/>
    <n v="16"/>
    <x v="43"/>
    <n v="88.192000000000021"/>
  </r>
  <r>
    <n v="1050"/>
    <x v="24"/>
    <n v="4"/>
    <x v="1"/>
    <s v="123 4th Street"/>
    <s v="New York"/>
    <x v="1"/>
    <n v="99999"/>
    <s v="USA"/>
    <x v="1"/>
    <x v="1"/>
    <m/>
    <m/>
    <s v="Christina Lee"/>
    <s v="123 4th Street"/>
    <x v="1"/>
    <s v="NY"/>
    <n v="99999"/>
    <x v="0"/>
    <m/>
    <x v="20"/>
    <x v="9"/>
    <n v="38"/>
    <n v="96"/>
    <x v="44"/>
    <n v="346.56"/>
  </r>
  <r>
    <n v="1051"/>
    <x v="14"/>
    <n v="3"/>
    <x v="5"/>
    <s v="123 3rd Street"/>
    <s v="Los Angelas"/>
    <x v="4"/>
    <n v="99999"/>
    <s v="USA"/>
    <x v="0"/>
    <x v="0"/>
    <m/>
    <m/>
    <s v="Thomas Axerr"/>
    <s v="123 3rd Street"/>
    <x v="4"/>
    <s v="CA"/>
    <n v="99999"/>
    <x v="0"/>
    <m/>
    <x v="10"/>
    <x v="0"/>
    <n v="2.99"/>
    <n v="75"/>
    <x v="45"/>
    <n v="23.097750000000005"/>
  </r>
  <r>
    <n v="1052"/>
    <x v="25"/>
    <n v="9"/>
    <x v="12"/>
    <s v="123 9th Street"/>
    <s v="Salt Lake City"/>
    <x v="11"/>
    <n v="99999"/>
    <s v="USA"/>
    <x v="7"/>
    <x v="0"/>
    <n v="41709"/>
    <s v="Shipping Company A"/>
    <s v="Sven Mortensen"/>
    <s v="123 9th Street"/>
    <x v="11"/>
    <s v="UT"/>
    <n v="99999"/>
    <x v="0"/>
    <s v="Check"/>
    <x v="14"/>
    <x v="9"/>
    <n v="19.5"/>
    <n v="55"/>
    <x v="46"/>
    <n v="108.32250000000001"/>
  </r>
  <r>
    <n v="1053"/>
    <x v="25"/>
    <n v="9"/>
    <x v="12"/>
    <s v="123 9th Street"/>
    <s v="Salt Lake City"/>
    <x v="11"/>
    <n v="99999"/>
    <s v="USA"/>
    <x v="7"/>
    <x v="0"/>
    <d v="2014-03-11T00:00:00"/>
    <s v="Shipping Company A"/>
    <s v="Sven Mortensen"/>
    <s v="123 9th Street"/>
    <x v="11"/>
    <s v="UT"/>
    <n v="99999"/>
    <x v="0"/>
    <s v="Check"/>
    <x v="15"/>
    <x v="10"/>
    <n v="34.799999999999997"/>
    <n v="11"/>
    <x v="47"/>
    <n v="36.748799999999996"/>
  </r>
  <r>
    <n v="1054"/>
    <x v="26"/>
    <n v="6"/>
    <x v="6"/>
    <s v="123 6th Street"/>
    <s v="Milwaukee"/>
    <x v="5"/>
    <n v="99999"/>
    <s v="USA"/>
    <x v="4"/>
    <x v="2"/>
    <d v="2014-03-08T00:00:00"/>
    <s v="Shipping Company B"/>
    <s v="Francisco Pérez-Olaeta"/>
    <s v="123 6th Street"/>
    <x v="5"/>
    <s v="WI"/>
    <n v="99999"/>
    <x v="0"/>
    <s v="Credit Card"/>
    <x v="0"/>
    <x v="0"/>
    <n v="14"/>
    <n v="53"/>
    <x v="48"/>
    <n v="71.974000000000004"/>
  </r>
  <r>
    <n v="1055"/>
    <x v="27"/>
    <n v="8"/>
    <x v="3"/>
    <s v="123 8th Street"/>
    <s v="Portland"/>
    <x v="2"/>
    <n v="99999"/>
    <s v="USA"/>
    <x v="2"/>
    <x v="2"/>
    <d v="2014-03-10T00:00:00"/>
    <s v="Shipping Company B"/>
    <s v="Elizabeth Andersen"/>
    <s v="123 8th Street"/>
    <x v="2"/>
    <s v="OR"/>
    <n v="99999"/>
    <x v="0"/>
    <s v="Check"/>
    <x v="9"/>
    <x v="5"/>
    <n v="40"/>
    <n v="85"/>
    <x v="49"/>
    <n v="357"/>
  </r>
  <r>
    <n v="1056"/>
    <x v="27"/>
    <n v="8"/>
    <x v="3"/>
    <s v="123 8th Street"/>
    <s v="Portland"/>
    <x v="2"/>
    <n v="99999"/>
    <s v="USA"/>
    <x v="2"/>
    <x v="2"/>
    <d v="2014-03-10T00:00:00"/>
    <s v="Shipping Company B"/>
    <s v="Elizabeth Andersen"/>
    <s v="123 8th Street"/>
    <x v="2"/>
    <s v="OR"/>
    <n v="99999"/>
    <x v="0"/>
    <s v="Check"/>
    <x v="6"/>
    <x v="2"/>
    <n v="9.1999999999999993"/>
    <n v="97"/>
    <x v="50"/>
    <n v="91.024800000000013"/>
  </r>
  <r>
    <n v="1057"/>
    <x v="28"/>
    <n v="25"/>
    <x v="13"/>
    <s v="789 25th Street"/>
    <s v="Chicago"/>
    <x v="7"/>
    <n v="99999"/>
    <s v="USA"/>
    <x v="6"/>
    <x v="1"/>
    <d v="2014-03-27T00:00:00"/>
    <s v="Shipping Company A"/>
    <s v="John Rodman"/>
    <s v="789 25th Street"/>
    <x v="7"/>
    <s v="IL"/>
    <n v="99999"/>
    <x v="0"/>
    <s v="Cash"/>
    <x v="21"/>
    <x v="2"/>
    <n v="10"/>
    <n v="46"/>
    <x v="51"/>
    <n v="46.46"/>
  </r>
  <r>
    <n v="1058"/>
    <x v="29"/>
    <n v="26"/>
    <x v="14"/>
    <s v="789 26th Street"/>
    <s v="Miami"/>
    <x v="9"/>
    <n v="99999"/>
    <s v="USA"/>
    <x v="5"/>
    <x v="3"/>
    <d v="2014-03-28T00:00:00"/>
    <s v="Shipping Company C"/>
    <s v="Run Liu"/>
    <s v="789 26th Street"/>
    <x v="9"/>
    <s v="FL"/>
    <n v="99999"/>
    <x v="0"/>
    <s v="Credit Card"/>
    <x v="22"/>
    <x v="13"/>
    <n v="21.35"/>
    <n v="97"/>
    <x v="52"/>
    <n v="196.74025"/>
  </r>
  <r>
    <n v="1059"/>
    <x v="29"/>
    <n v="26"/>
    <x v="14"/>
    <s v="789 26th Street"/>
    <s v="Miami"/>
    <x v="9"/>
    <n v="99999"/>
    <s v="USA"/>
    <x v="5"/>
    <x v="3"/>
    <d v="2014-03-28T00:00:00"/>
    <s v="Shipping Company C"/>
    <s v="Run Liu"/>
    <s v="789 26th Street"/>
    <x v="9"/>
    <s v="FL"/>
    <n v="99999"/>
    <x v="0"/>
    <s v="Credit Card"/>
    <x v="8"/>
    <x v="4"/>
    <n v="9.65"/>
    <n v="97"/>
    <x v="53"/>
    <n v="95.477100000000021"/>
  </r>
  <r>
    <n v="1060"/>
    <x v="29"/>
    <n v="26"/>
    <x v="14"/>
    <s v="789 26th Street"/>
    <s v="Miami"/>
    <x v="9"/>
    <n v="99999"/>
    <s v="USA"/>
    <x v="5"/>
    <x v="3"/>
    <d v="2014-03-28T00:00:00"/>
    <s v="Shipping Company C"/>
    <s v="Run Liu"/>
    <s v="789 26th Street"/>
    <x v="9"/>
    <s v="FL"/>
    <n v="99999"/>
    <x v="0"/>
    <s v="Credit Card"/>
    <x v="13"/>
    <x v="8"/>
    <n v="18.399999999999999"/>
    <n v="65"/>
    <x v="54"/>
    <n v="123.18800000000002"/>
  </r>
  <r>
    <n v="1061"/>
    <x v="30"/>
    <n v="29"/>
    <x v="4"/>
    <s v="789 29th Street"/>
    <s v="Denver"/>
    <x v="3"/>
    <n v="99999"/>
    <s v="USA"/>
    <x v="3"/>
    <x v="0"/>
    <d v="2014-03-31T00:00:00"/>
    <s v="Shipping Company B"/>
    <s v="Soo Jung Lee"/>
    <s v="789 29th Street"/>
    <x v="3"/>
    <s v="CO"/>
    <n v="99999"/>
    <x v="0"/>
    <s v="Check"/>
    <x v="0"/>
    <x v="0"/>
    <n v="14"/>
    <n v="72"/>
    <x v="55"/>
    <n v="100.80000000000001"/>
  </r>
  <r>
    <n v="1062"/>
    <x v="26"/>
    <n v="6"/>
    <x v="6"/>
    <s v="123 6th Street"/>
    <s v="Milwaukee"/>
    <x v="5"/>
    <n v="99999"/>
    <s v="USA"/>
    <x v="4"/>
    <x v="2"/>
    <d v="2014-03-08T00:00:00"/>
    <s v="Shipping Company C"/>
    <s v="Francisco Pérez-Olaeta"/>
    <s v="123 6th Street"/>
    <x v="5"/>
    <s v="WI"/>
    <n v="99999"/>
    <x v="0"/>
    <s v="Check"/>
    <x v="7"/>
    <x v="3"/>
    <n v="12.75"/>
    <n v="16"/>
    <x v="56"/>
    <n v="20.196000000000002"/>
  </r>
  <r>
    <n v="1064"/>
    <x v="31"/>
    <n v="4"/>
    <x v="1"/>
    <s v="123 4th Street"/>
    <s v="New York"/>
    <x v="1"/>
    <n v="99999"/>
    <s v="USA"/>
    <x v="1"/>
    <x v="1"/>
    <d v="2014-03-06T00:00:00"/>
    <s v="Shipping Company A"/>
    <s v="Christina Lee"/>
    <s v="123 4th Street"/>
    <x v="1"/>
    <s v="NY"/>
    <n v="99999"/>
    <x v="0"/>
    <s v="Credit Card"/>
    <x v="23"/>
    <x v="6"/>
    <n v="81"/>
    <n v="77"/>
    <x v="57"/>
    <n v="642.41100000000006"/>
  </r>
  <r>
    <n v="1065"/>
    <x v="31"/>
    <n v="4"/>
    <x v="1"/>
    <s v="123 4th Street"/>
    <s v="New York"/>
    <x v="1"/>
    <n v="99999"/>
    <s v="USA"/>
    <x v="1"/>
    <x v="1"/>
    <d v="2014-03-06T00:00:00"/>
    <s v="Shipping Company A"/>
    <s v="Christina Lee"/>
    <s v="123 4th Street"/>
    <x v="1"/>
    <s v="NY"/>
    <n v="99999"/>
    <x v="0"/>
    <s v="Credit Card"/>
    <x v="24"/>
    <x v="14"/>
    <n v="7"/>
    <n v="37"/>
    <x v="58"/>
    <n v="24.605"/>
  </r>
  <r>
    <n v="1067"/>
    <x v="27"/>
    <n v="8"/>
    <x v="3"/>
    <s v="123 8th Street"/>
    <s v="Portland"/>
    <x v="2"/>
    <n v="99999"/>
    <s v="USA"/>
    <x v="2"/>
    <x v="2"/>
    <d v="2014-03-10T00:00:00"/>
    <s v="Shipping Company C"/>
    <s v="Elizabeth Andersen"/>
    <s v="123 8th Street"/>
    <x v="2"/>
    <s v="OR"/>
    <n v="99999"/>
    <x v="0"/>
    <s v="Credit Card"/>
    <x v="15"/>
    <x v="10"/>
    <n v="34.799999999999997"/>
    <n v="63"/>
    <x v="59"/>
    <n v="217.04759999999999"/>
  </r>
  <r>
    <n v="1070"/>
    <x v="32"/>
    <n v="3"/>
    <x v="5"/>
    <s v="123 3rd Street"/>
    <s v="Los Angelas"/>
    <x v="4"/>
    <n v="99999"/>
    <s v="USA"/>
    <x v="0"/>
    <x v="0"/>
    <d v="2014-03-05T00:00:00"/>
    <s v="Shipping Company B"/>
    <s v="Thomas Axerr"/>
    <s v="123 3rd Street"/>
    <x v="4"/>
    <s v="CA"/>
    <n v="99999"/>
    <x v="0"/>
    <s v="Cash"/>
    <x v="16"/>
    <x v="7"/>
    <n v="10"/>
    <n v="48"/>
    <x v="60"/>
    <n v="48"/>
  </r>
  <r>
    <n v="1071"/>
    <x v="32"/>
    <n v="3"/>
    <x v="5"/>
    <s v="123 3rd Street"/>
    <s v="Los Angelas"/>
    <x v="4"/>
    <n v="99999"/>
    <s v="USA"/>
    <x v="0"/>
    <x v="0"/>
    <d v="2014-03-05T00:00:00"/>
    <s v="Shipping Company B"/>
    <s v="Thomas Axerr"/>
    <s v="123 3rd Street"/>
    <x v="4"/>
    <s v="CA"/>
    <n v="99999"/>
    <x v="0"/>
    <s v="Cash"/>
    <x v="9"/>
    <x v="5"/>
    <n v="40"/>
    <n v="71"/>
    <x v="61"/>
    <n v="295.36"/>
  </r>
  <r>
    <n v="1075"/>
    <x v="33"/>
    <n v="10"/>
    <x v="8"/>
    <s v="123 10th Street"/>
    <s v="Chicago"/>
    <x v="7"/>
    <n v="99999"/>
    <s v="USA"/>
    <x v="6"/>
    <x v="1"/>
    <d v="2014-03-12T00:00:00"/>
    <s v="Shipping Company B"/>
    <s v="Roland Wacker"/>
    <s v="123 10th Street"/>
    <x v="7"/>
    <s v="IL"/>
    <n v="99999"/>
    <x v="0"/>
    <s v="Credit Card"/>
    <x v="18"/>
    <x v="1"/>
    <n v="10"/>
    <n v="55"/>
    <x v="62"/>
    <n v="55"/>
  </r>
  <r>
    <n v="1077"/>
    <x v="33"/>
    <n v="10"/>
    <x v="8"/>
    <s v="123 10th Street"/>
    <s v="Chicago"/>
    <x v="7"/>
    <n v="99999"/>
    <s v="USA"/>
    <x v="6"/>
    <x v="1"/>
    <m/>
    <s v="Shipping Company A"/>
    <s v="Roland Wacker"/>
    <s v="123 10th Street"/>
    <x v="7"/>
    <s v="IL"/>
    <n v="99999"/>
    <x v="0"/>
    <m/>
    <x v="1"/>
    <x v="1"/>
    <n v="3.5"/>
    <n v="21"/>
    <x v="63"/>
    <n v="7.3500000000000005"/>
  </r>
  <r>
    <n v="1078"/>
    <x v="34"/>
    <n v="11"/>
    <x v="10"/>
    <s v="123 11th Street"/>
    <s v="Miami"/>
    <x v="9"/>
    <n v="99999"/>
    <s v="USA"/>
    <x v="5"/>
    <x v="3"/>
    <m/>
    <s v="Shipping Company C"/>
    <s v="Peter Krschne"/>
    <s v="123 11th Street"/>
    <x v="9"/>
    <s v="FL"/>
    <n v="99999"/>
    <x v="0"/>
    <m/>
    <x v="9"/>
    <x v="5"/>
    <n v="40"/>
    <n v="67"/>
    <x v="64"/>
    <n v="270.68"/>
  </r>
  <r>
    <n v="1079"/>
    <x v="23"/>
    <n v="1"/>
    <x v="11"/>
    <s v="123 1st Street"/>
    <s v="Seattle"/>
    <x v="10"/>
    <n v="99999"/>
    <s v="USA"/>
    <x v="2"/>
    <x v="2"/>
    <m/>
    <s v="Shipping Company C"/>
    <s v="Anna Bedecs"/>
    <s v="123 1st Street"/>
    <x v="10"/>
    <s v="WA"/>
    <n v="99999"/>
    <x v="0"/>
    <m/>
    <x v="13"/>
    <x v="8"/>
    <n v="18.399999999999999"/>
    <n v="75"/>
    <x v="65"/>
    <n v="138"/>
  </r>
  <r>
    <n v="1080"/>
    <x v="35"/>
    <n v="28"/>
    <x v="7"/>
    <s v="789 28th Street"/>
    <s v="Memphis"/>
    <x v="6"/>
    <n v="99999"/>
    <s v="USA"/>
    <x v="5"/>
    <x v="3"/>
    <d v="2014-03-30T00:00:00"/>
    <s v="Shipping Company C"/>
    <s v="Amritansh Raghav"/>
    <s v="789 28th Street"/>
    <x v="6"/>
    <s v="TN"/>
    <n v="99999"/>
    <x v="0"/>
    <s v="Credit Card"/>
    <x v="5"/>
    <x v="0"/>
    <n v="46"/>
    <n v="17"/>
    <x v="66"/>
    <n v="80.546000000000006"/>
  </r>
  <r>
    <n v="1081"/>
    <x v="36"/>
    <n v="4"/>
    <x v="1"/>
    <s v="123 4th Street"/>
    <s v="New York"/>
    <x v="1"/>
    <n v="99999"/>
    <s v="USA"/>
    <x v="1"/>
    <x v="1"/>
    <d v="2014-04-06T00:00:00"/>
    <s v="Shipping Company A"/>
    <s v="Christina Lee"/>
    <s v="123 4th Street"/>
    <x v="1"/>
    <s v="NY"/>
    <n v="99999"/>
    <x v="0"/>
    <s v="Credit Card"/>
    <x v="1"/>
    <x v="1"/>
    <n v="3.5"/>
    <n v="48"/>
    <x v="67"/>
    <n v="16.295999999999999"/>
  </r>
  <r>
    <n v="1082"/>
    <x v="37"/>
    <n v="12"/>
    <x v="2"/>
    <s v="123 12th Street"/>
    <s v="Las Vegas"/>
    <x v="0"/>
    <n v="99999"/>
    <s v="USA"/>
    <x v="0"/>
    <x v="0"/>
    <d v="2014-04-14T00:00:00"/>
    <s v="Shipping Company B"/>
    <s v="John Edwards"/>
    <s v="123 12th Street"/>
    <x v="0"/>
    <s v="NV"/>
    <n v="99999"/>
    <x v="0"/>
    <s v="Credit Card"/>
    <x v="4"/>
    <x v="0"/>
    <n v="18"/>
    <n v="74"/>
    <x v="68"/>
    <n v="137.19600000000003"/>
  </r>
  <r>
    <n v="1083"/>
    <x v="37"/>
    <n v="12"/>
    <x v="2"/>
    <s v="123 12th Street"/>
    <s v="Las Vegas"/>
    <x v="0"/>
    <n v="99999"/>
    <s v="USA"/>
    <x v="0"/>
    <x v="0"/>
    <d v="2014-04-14T00:00:00"/>
    <s v="Shipping Company B"/>
    <s v="John Edwards"/>
    <s v="123 12th Street"/>
    <x v="0"/>
    <s v="NV"/>
    <n v="99999"/>
    <x v="0"/>
    <s v="Credit Card"/>
    <x v="5"/>
    <x v="0"/>
    <n v="46"/>
    <n v="96"/>
    <x v="69"/>
    <n v="428.35200000000003"/>
  </r>
  <r>
    <n v="1084"/>
    <x v="38"/>
    <n v="8"/>
    <x v="3"/>
    <s v="123 8th Street"/>
    <s v="Portland"/>
    <x v="2"/>
    <n v="99999"/>
    <s v="USA"/>
    <x v="2"/>
    <x v="2"/>
    <d v="2014-04-10T00:00:00"/>
    <s v="Shipping Company C"/>
    <s v="Elizabeth Andersen"/>
    <s v="123 8th Street"/>
    <x v="2"/>
    <s v="OR"/>
    <n v="99999"/>
    <x v="0"/>
    <s v="Credit Card"/>
    <x v="6"/>
    <x v="2"/>
    <n v="9.1999999999999993"/>
    <n v="12"/>
    <x v="70"/>
    <n v="11.3712"/>
  </r>
  <r>
    <n v="1085"/>
    <x v="36"/>
    <n v="4"/>
    <x v="1"/>
    <s v="123 4th Street"/>
    <s v="New York"/>
    <x v="1"/>
    <n v="99999"/>
    <s v="USA"/>
    <x v="1"/>
    <x v="1"/>
    <n v="41735"/>
    <s v="Shipping Company C"/>
    <s v="Christina Lee"/>
    <s v="123 4th Street"/>
    <x v="1"/>
    <s v="NY"/>
    <n v="99999"/>
    <x v="0"/>
    <s v="Check"/>
    <x v="6"/>
    <x v="2"/>
    <n v="9.1999999999999993"/>
    <n v="62"/>
    <x v="71"/>
    <n v="58.751199999999997"/>
  </r>
  <r>
    <n v="1086"/>
    <x v="39"/>
    <n v="29"/>
    <x v="4"/>
    <s v="789 29th Street"/>
    <s v="Denver"/>
    <x v="3"/>
    <n v="99999"/>
    <s v="USA"/>
    <x v="3"/>
    <x v="0"/>
    <n v="41760"/>
    <s v="Shipping Company B"/>
    <s v="Soo Jung Lee"/>
    <s v="789 29th Street"/>
    <x v="3"/>
    <s v="CO"/>
    <n v="99999"/>
    <x v="0"/>
    <s v="Check"/>
    <x v="7"/>
    <x v="3"/>
    <n v="12.75"/>
    <n v="35"/>
    <x v="72"/>
    <n v="45.963750000000005"/>
  </r>
  <r>
    <n v="1087"/>
    <x v="40"/>
    <n v="3"/>
    <x v="5"/>
    <s v="123 3rd Street"/>
    <s v="Los Angelas"/>
    <x v="4"/>
    <n v="99999"/>
    <s v="USA"/>
    <x v="0"/>
    <x v="0"/>
    <n v="41734"/>
    <s v="Shipping Company B"/>
    <s v="Thomas Axerr"/>
    <s v="123 3rd Street"/>
    <x v="4"/>
    <s v="CA"/>
    <n v="99999"/>
    <x v="0"/>
    <s v="Cash"/>
    <x v="8"/>
    <x v="4"/>
    <n v="9.65"/>
    <n v="95"/>
    <x v="73"/>
    <n v="91.675000000000011"/>
  </r>
  <r>
    <n v="1088"/>
    <x v="41"/>
    <n v="6"/>
    <x v="6"/>
    <s v="123 6th Street"/>
    <s v="Milwaukee"/>
    <x v="5"/>
    <n v="99999"/>
    <s v="USA"/>
    <x v="4"/>
    <x v="2"/>
    <n v="41737"/>
    <s v="Shipping Company B"/>
    <s v="Francisco Pérez-Olaeta"/>
    <s v="123 6th Street"/>
    <x v="5"/>
    <s v="WI"/>
    <n v="99999"/>
    <x v="0"/>
    <s v="Credit Card"/>
    <x v="9"/>
    <x v="5"/>
    <n v="40"/>
    <n v="17"/>
    <x v="74"/>
    <n v="68.680000000000007"/>
  </r>
  <r>
    <n v="1089"/>
    <x v="42"/>
    <n v="28"/>
    <x v="7"/>
    <s v="789 28th Street"/>
    <s v="Memphis"/>
    <x v="6"/>
    <n v="99999"/>
    <s v="USA"/>
    <x v="5"/>
    <x v="3"/>
    <d v="2014-04-30T00:00:00"/>
    <s v="Shipping Company C"/>
    <s v="Amritansh Raghav"/>
    <s v="789 28th Street"/>
    <x v="6"/>
    <s v="TN"/>
    <n v="99999"/>
    <x v="0"/>
    <s v="Check"/>
    <x v="5"/>
    <x v="0"/>
    <n v="46"/>
    <n v="96"/>
    <x v="69"/>
    <n v="463.68000000000006"/>
  </r>
  <r>
    <n v="1090"/>
    <x v="38"/>
    <n v="8"/>
    <x v="3"/>
    <s v="123 8th Street"/>
    <s v="Portland"/>
    <x v="2"/>
    <n v="99999"/>
    <s v="USA"/>
    <x v="2"/>
    <x v="2"/>
    <d v="2014-04-10T00:00:00"/>
    <s v="Shipping Company C"/>
    <s v="Elizabeth Andersen"/>
    <s v="123 8th Street"/>
    <x v="2"/>
    <s v="OR"/>
    <n v="99999"/>
    <x v="0"/>
    <s v="Check"/>
    <x v="7"/>
    <x v="3"/>
    <n v="12.75"/>
    <n v="83"/>
    <x v="75"/>
    <n v="102.65025"/>
  </r>
  <r>
    <n v="1091"/>
    <x v="43"/>
    <n v="10"/>
    <x v="8"/>
    <s v="123 10th Street"/>
    <s v="Chicago"/>
    <x v="7"/>
    <n v="99999"/>
    <s v="USA"/>
    <x v="6"/>
    <x v="1"/>
    <d v="2014-04-12T00:00:00"/>
    <s v="Shipping Company B"/>
    <s v="Roland Wacker"/>
    <s v="123 10th Street"/>
    <x v="7"/>
    <s v="IL"/>
    <n v="99999"/>
    <x v="0"/>
    <s v="Credit Card"/>
    <x v="10"/>
    <x v="0"/>
    <n v="2.99"/>
    <n v="88"/>
    <x v="76"/>
    <n v="26.04888"/>
  </r>
  <r>
    <n v="1092"/>
    <x v="44"/>
    <n v="7"/>
    <x v="9"/>
    <s v="123 7th Street"/>
    <s v="Boise"/>
    <x v="8"/>
    <n v="99999"/>
    <s v="USA"/>
    <x v="2"/>
    <x v="2"/>
    <m/>
    <m/>
    <s v="Ming-Yang Xie"/>
    <s v="123 7th Street"/>
    <x v="8"/>
    <s v="ID"/>
    <n v="99999"/>
    <x v="0"/>
    <m/>
    <x v="5"/>
    <x v="0"/>
    <n v="46"/>
    <n v="59"/>
    <x v="77"/>
    <n v="284.97000000000003"/>
  </r>
  <r>
    <n v="1093"/>
    <x v="43"/>
    <n v="10"/>
    <x v="8"/>
    <s v="123 10th Street"/>
    <s v="Chicago"/>
    <x v="7"/>
    <n v="99999"/>
    <s v="USA"/>
    <x v="6"/>
    <x v="1"/>
    <d v="2014-04-12T00:00:00"/>
    <s v="Shipping Company A"/>
    <s v="Roland Wacker"/>
    <s v="123 10th Street"/>
    <x v="7"/>
    <s v="IL"/>
    <n v="99999"/>
    <x v="0"/>
    <m/>
    <x v="11"/>
    <x v="6"/>
    <n v="25"/>
    <n v="27"/>
    <x v="78"/>
    <n v="68.849999999999994"/>
  </r>
  <r>
    <n v="1094"/>
    <x v="43"/>
    <n v="10"/>
    <x v="8"/>
    <s v="123 10th Street"/>
    <s v="Chicago"/>
    <x v="7"/>
    <n v="99999"/>
    <s v="USA"/>
    <x v="6"/>
    <x v="1"/>
    <d v="2014-04-12T00:00:00"/>
    <s v="Shipping Company A"/>
    <s v="Roland Wacker"/>
    <s v="123 10th Street"/>
    <x v="7"/>
    <s v="IL"/>
    <n v="99999"/>
    <x v="0"/>
    <m/>
    <x v="12"/>
    <x v="7"/>
    <n v="22"/>
    <n v="37"/>
    <x v="79"/>
    <n v="85.470000000000013"/>
  </r>
  <r>
    <n v="1095"/>
    <x v="43"/>
    <n v="10"/>
    <x v="8"/>
    <s v="123 10th Street"/>
    <s v="Chicago"/>
    <x v="7"/>
    <n v="99999"/>
    <s v="USA"/>
    <x v="6"/>
    <x v="1"/>
    <d v="2014-04-12T00:00:00"/>
    <s v="Shipping Company A"/>
    <s v="Roland Wacker"/>
    <s v="123 10th Street"/>
    <x v="7"/>
    <s v="IL"/>
    <n v="99999"/>
    <x v="0"/>
    <m/>
    <x v="6"/>
    <x v="2"/>
    <n v="9.1999999999999993"/>
    <n v="75"/>
    <x v="80"/>
    <n v="69"/>
  </r>
  <r>
    <n v="1096"/>
    <x v="45"/>
    <n v="11"/>
    <x v="10"/>
    <s v="123 11th Street"/>
    <s v="Miami"/>
    <x v="9"/>
    <n v="99999"/>
    <s v="USA"/>
    <x v="5"/>
    <x v="3"/>
    <m/>
    <s v="Shipping Company C"/>
    <s v="Peter Krschne"/>
    <s v="123 11th Street"/>
    <x v="9"/>
    <s v="FL"/>
    <n v="99999"/>
    <x v="0"/>
    <m/>
    <x v="1"/>
    <x v="1"/>
    <n v="3.5"/>
    <n v="71"/>
    <x v="81"/>
    <n v="24.104500000000002"/>
  </r>
  <r>
    <n v="1097"/>
    <x v="45"/>
    <n v="11"/>
    <x v="10"/>
    <s v="123 11th Street"/>
    <s v="Miami"/>
    <x v="9"/>
    <n v="99999"/>
    <s v="USA"/>
    <x v="5"/>
    <x v="3"/>
    <m/>
    <s v="Shipping Company C"/>
    <s v="Peter Krschne"/>
    <s v="123 11th Street"/>
    <x v="9"/>
    <s v="FL"/>
    <n v="99999"/>
    <x v="0"/>
    <m/>
    <x v="10"/>
    <x v="0"/>
    <n v="2.99"/>
    <n v="88"/>
    <x v="76"/>
    <n v="26.04888"/>
  </r>
  <r>
    <n v="1098"/>
    <x v="46"/>
    <n v="1"/>
    <x v="11"/>
    <s v="123 1st Street"/>
    <s v="Seattle"/>
    <x v="10"/>
    <n v="99999"/>
    <s v="USA"/>
    <x v="2"/>
    <x v="2"/>
    <m/>
    <m/>
    <s v="Anna Bedecs"/>
    <s v="123 1st Street"/>
    <x v="10"/>
    <s v="WA"/>
    <n v="99999"/>
    <x v="0"/>
    <m/>
    <x v="4"/>
    <x v="0"/>
    <n v="18"/>
    <n v="55"/>
    <x v="82"/>
    <n v="97.02"/>
  </r>
  <r>
    <n v="1099"/>
    <x v="47"/>
    <n v="29"/>
    <x v="4"/>
    <s v="789 29th Street"/>
    <s v="Denver"/>
    <x v="3"/>
    <n v="99999"/>
    <s v="USA"/>
    <x v="3"/>
    <x v="0"/>
    <d v="2014-05-31T00:00:00"/>
    <s v="Shipping Company B"/>
    <s v="Soo Jung Lee"/>
    <s v="789 29th Street"/>
    <x v="3"/>
    <s v="CO"/>
    <n v="99999"/>
    <x v="0"/>
    <s v="Check"/>
    <x v="7"/>
    <x v="3"/>
    <n v="12.75"/>
    <n v="14"/>
    <x v="83"/>
    <n v="16.9575"/>
  </r>
  <r>
    <n v="1100"/>
    <x v="48"/>
    <n v="3"/>
    <x v="5"/>
    <s v="123 3rd Street"/>
    <s v="Los Angelas"/>
    <x v="4"/>
    <n v="99999"/>
    <s v="USA"/>
    <x v="0"/>
    <x v="0"/>
    <d v="2014-05-05T00:00:00"/>
    <s v="Shipping Company B"/>
    <s v="Thomas Axerr"/>
    <s v="123 3rd Street"/>
    <x v="4"/>
    <s v="CA"/>
    <n v="99999"/>
    <x v="0"/>
    <s v="Cash"/>
    <x v="8"/>
    <x v="4"/>
    <n v="9.65"/>
    <n v="43"/>
    <x v="84"/>
    <n v="42.324900000000007"/>
  </r>
  <r>
    <n v="1101"/>
    <x v="49"/>
    <n v="6"/>
    <x v="6"/>
    <s v="123 6th Street"/>
    <s v="Milwaukee"/>
    <x v="5"/>
    <n v="99999"/>
    <s v="USA"/>
    <x v="4"/>
    <x v="2"/>
    <n v="41767"/>
    <s v="Shipping Company B"/>
    <s v="Francisco Pérez-Olaeta"/>
    <s v="123 6th Street"/>
    <x v="5"/>
    <s v="WI"/>
    <n v="99999"/>
    <x v="0"/>
    <s v="Credit Card"/>
    <x v="9"/>
    <x v="5"/>
    <n v="40"/>
    <n v="63"/>
    <x v="85"/>
    <n v="254.52"/>
  </r>
  <r>
    <n v="1102"/>
    <x v="50"/>
    <n v="28"/>
    <x v="7"/>
    <s v="789 28th Street"/>
    <s v="Memphis"/>
    <x v="6"/>
    <n v="99999"/>
    <s v="USA"/>
    <x v="5"/>
    <x v="3"/>
    <d v="2014-05-30T00:00:00"/>
    <s v="Shipping Company C"/>
    <s v="Amritansh Raghav"/>
    <s v="789 28th Street"/>
    <x v="6"/>
    <s v="TN"/>
    <n v="99999"/>
    <x v="0"/>
    <s v="Check"/>
    <x v="5"/>
    <x v="0"/>
    <n v="46"/>
    <n v="36"/>
    <x v="86"/>
    <n v="165.60000000000002"/>
  </r>
  <r>
    <n v="1103"/>
    <x v="51"/>
    <n v="8"/>
    <x v="3"/>
    <s v="123 8th Street"/>
    <s v="Portland"/>
    <x v="2"/>
    <n v="99999"/>
    <s v="USA"/>
    <x v="2"/>
    <x v="2"/>
    <d v="2014-05-10T00:00:00"/>
    <s v="Shipping Company C"/>
    <s v="Elizabeth Andersen"/>
    <s v="123 8th Street"/>
    <x v="2"/>
    <s v="OR"/>
    <n v="99999"/>
    <x v="0"/>
    <s v="Check"/>
    <x v="7"/>
    <x v="3"/>
    <n v="12.75"/>
    <n v="41"/>
    <x v="87"/>
    <n v="54.366000000000007"/>
  </r>
  <r>
    <n v="1104"/>
    <x v="52"/>
    <n v="10"/>
    <x v="8"/>
    <s v="123 10th Street"/>
    <s v="Chicago"/>
    <x v="7"/>
    <n v="99999"/>
    <s v="USA"/>
    <x v="6"/>
    <x v="1"/>
    <d v="2014-05-12T00:00:00"/>
    <s v="Shipping Company B"/>
    <s v="Roland Wacker"/>
    <s v="123 10th Street"/>
    <x v="7"/>
    <s v="IL"/>
    <n v="99999"/>
    <x v="0"/>
    <s v="Credit Card"/>
    <x v="10"/>
    <x v="0"/>
    <n v="2.99"/>
    <n v="35"/>
    <x v="88"/>
    <n v="10.255700000000001"/>
  </r>
  <r>
    <n v="1105"/>
    <x v="53"/>
    <n v="7"/>
    <x v="9"/>
    <s v="123 7th Street"/>
    <s v="Boise"/>
    <x v="8"/>
    <n v="99999"/>
    <s v="USA"/>
    <x v="2"/>
    <x v="2"/>
    <m/>
    <m/>
    <s v="Ming-Yang Xie"/>
    <s v="123 7th Street"/>
    <x v="8"/>
    <s v="ID"/>
    <n v="99999"/>
    <x v="0"/>
    <m/>
    <x v="5"/>
    <x v="0"/>
    <n v="46"/>
    <n v="31"/>
    <x v="89"/>
    <n v="136.89599999999999"/>
  </r>
  <r>
    <n v="1106"/>
    <x v="52"/>
    <n v="10"/>
    <x v="8"/>
    <s v="123 10th Street"/>
    <s v="Chicago"/>
    <x v="7"/>
    <n v="99999"/>
    <s v="USA"/>
    <x v="6"/>
    <x v="1"/>
    <n v="41771"/>
    <s v="Shipping Company A"/>
    <s v="Roland Wacker"/>
    <s v="123 10th Street"/>
    <x v="7"/>
    <s v="IL"/>
    <n v="99999"/>
    <x v="0"/>
    <m/>
    <x v="11"/>
    <x v="6"/>
    <n v="25"/>
    <n v="52"/>
    <x v="90"/>
    <n v="123.5"/>
  </r>
  <r>
    <n v="1107"/>
    <x v="52"/>
    <n v="10"/>
    <x v="8"/>
    <s v="123 10th Street"/>
    <s v="Chicago"/>
    <x v="7"/>
    <n v="99999"/>
    <s v="USA"/>
    <x v="6"/>
    <x v="1"/>
    <n v="41771"/>
    <s v="Shipping Company A"/>
    <s v="Roland Wacker"/>
    <s v="123 10th Street"/>
    <x v="7"/>
    <s v="IL"/>
    <n v="99999"/>
    <x v="0"/>
    <m/>
    <x v="12"/>
    <x v="7"/>
    <n v="22"/>
    <n v="30"/>
    <x v="91"/>
    <n v="67.320000000000007"/>
  </r>
  <r>
    <n v="1108"/>
    <x v="52"/>
    <n v="10"/>
    <x v="8"/>
    <s v="123 10th Street"/>
    <s v="Chicago"/>
    <x v="7"/>
    <n v="99999"/>
    <s v="USA"/>
    <x v="6"/>
    <x v="1"/>
    <d v="2014-05-12T00:00:00"/>
    <s v="Shipping Company A"/>
    <s v="Roland Wacker"/>
    <s v="123 10th Street"/>
    <x v="7"/>
    <s v="IL"/>
    <n v="99999"/>
    <x v="0"/>
    <m/>
    <x v="6"/>
    <x v="2"/>
    <n v="9.1999999999999993"/>
    <n v="41"/>
    <x v="92"/>
    <n v="38.474400000000003"/>
  </r>
  <r>
    <n v="1109"/>
    <x v="54"/>
    <n v="11"/>
    <x v="10"/>
    <s v="123 11th Street"/>
    <s v="Miami"/>
    <x v="9"/>
    <n v="99999"/>
    <s v="USA"/>
    <x v="5"/>
    <x v="3"/>
    <m/>
    <s v="Shipping Company C"/>
    <s v="Peter Krschne"/>
    <s v="123 11th Street"/>
    <x v="9"/>
    <s v="FL"/>
    <n v="99999"/>
    <x v="0"/>
    <m/>
    <x v="1"/>
    <x v="1"/>
    <n v="3.5"/>
    <n v="44"/>
    <x v="93"/>
    <n v="15.246"/>
  </r>
  <r>
    <n v="1110"/>
    <x v="54"/>
    <n v="11"/>
    <x v="10"/>
    <s v="123 11th Street"/>
    <s v="Miami"/>
    <x v="9"/>
    <n v="99999"/>
    <s v="USA"/>
    <x v="5"/>
    <x v="3"/>
    <m/>
    <s v="Shipping Company C"/>
    <s v="Peter Krschne"/>
    <s v="123 11th Street"/>
    <x v="9"/>
    <s v="FL"/>
    <n v="99999"/>
    <x v="0"/>
    <m/>
    <x v="10"/>
    <x v="0"/>
    <n v="2.99"/>
    <n v="77"/>
    <x v="94"/>
    <n v="23.023000000000003"/>
  </r>
  <r>
    <n v="1111"/>
    <x v="55"/>
    <n v="1"/>
    <x v="11"/>
    <s v="123 1st Street"/>
    <s v="Seattle"/>
    <x v="10"/>
    <n v="99999"/>
    <s v="USA"/>
    <x v="2"/>
    <x v="2"/>
    <m/>
    <m/>
    <s v="Anna Bedecs"/>
    <s v="123 1st Street"/>
    <x v="10"/>
    <s v="WA"/>
    <n v="99999"/>
    <x v="0"/>
    <m/>
    <x v="4"/>
    <x v="0"/>
    <n v="18"/>
    <n v="29"/>
    <x v="95"/>
    <n v="52.722000000000001"/>
  </r>
  <r>
    <n v="1112"/>
    <x v="55"/>
    <n v="1"/>
    <x v="11"/>
    <s v="123 1st Street"/>
    <s v="Seattle"/>
    <x v="10"/>
    <n v="99999"/>
    <s v="USA"/>
    <x v="2"/>
    <x v="2"/>
    <m/>
    <m/>
    <s v="Anna Bedecs"/>
    <s v="123 1st Street"/>
    <x v="10"/>
    <s v="WA"/>
    <n v="99999"/>
    <x v="0"/>
    <m/>
    <x v="5"/>
    <x v="0"/>
    <n v="46"/>
    <n v="77"/>
    <x v="96"/>
    <n v="368.36800000000005"/>
  </r>
  <r>
    <n v="1113"/>
    <x v="55"/>
    <n v="1"/>
    <x v="11"/>
    <s v="123 1st Street"/>
    <s v="Seattle"/>
    <x v="10"/>
    <n v="99999"/>
    <s v="USA"/>
    <x v="2"/>
    <x v="2"/>
    <m/>
    <m/>
    <s v="Anna Bedecs"/>
    <s v="123 1st Street"/>
    <x v="10"/>
    <s v="WA"/>
    <n v="99999"/>
    <x v="0"/>
    <m/>
    <x v="10"/>
    <x v="0"/>
    <n v="2.99"/>
    <n v="73"/>
    <x v="97"/>
    <n v="21.827000000000002"/>
  </r>
  <r>
    <n v="1114"/>
    <x v="50"/>
    <n v="28"/>
    <x v="7"/>
    <s v="789 28th Street"/>
    <s v="Memphis"/>
    <x v="6"/>
    <n v="99999"/>
    <s v="USA"/>
    <x v="5"/>
    <x v="3"/>
    <n v="41789"/>
    <s v="Shipping Company C"/>
    <s v="Amritansh Raghav"/>
    <s v="789 28th Street"/>
    <x v="6"/>
    <s v="TN"/>
    <n v="99999"/>
    <x v="0"/>
    <s v="Credit Card"/>
    <x v="8"/>
    <x v="4"/>
    <n v="9.65"/>
    <n v="74"/>
    <x v="98"/>
    <n v="67.839500000000001"/>
  </r>
  <r>
    <n v="1115"/>
    <x v="50"/>
    <n v="28"/>
    <x v="7"/>
    <s v="789 28th Street"/>
    <s v="Memphis"/>
    <x v="6"/>
    <n v="99999"/>
    <s v="USA"/>
    <x v="5"/>
    <x v="3"/>
    <d v="2014-05-30T00:00:00"/>
    <s v="Shipping Company C"/>
    <s v="Amritansh Raghav"/>
    <s v="789 28th Street"/>
    <x v="6"/>
    <s v="TN"/>
    <n v="99999"/>
    <x v="0"/>
    <s v="Credit Card"/>
    <x v="13"/>
    <x v="8"/>
    <n v="18.399999999999999"/>
    <n v="25"/>
    <x v="99"/>
    <n v="46.46"/>
  </r>
  <r>
    <n v="1116"/>
    <x v="56"/>
    <n v="9"/>
    <x v="12"/>
    <s v="123 9th Street"/>
    <s v="Salt Lake City"/>
    <x v="11"/>
    <n v="99999"/>
    <s v="USA"/>
    <x v="7"/>
    <x v="0"/>
    <d v="2014-05-11T00:00:00"/>
    <s v="Shipping Company A"/>
    <s v="Sven Mortensen"/>
    <s v="123 9th Street"/>
    <x v="11"/>
    <s v="UT"/>
    <n v="99999"/>
    <x v="0"/>
    <s v="Check"/>
    <x v="14"/>
    <x v="9"/>
    <n v="19.5"/>
    <n v="82"/>
    <x v="100"/>
    <n v="153.50399999999999"/>
  </r>
  <r>
    <n v="1117"/>
    <x v="56"/>
    <n v="9"/>
    <x v="12"/>
    <s v="123 9th Street"/>
    <s v="Salt Lake City"/>
    <x v="11"/>
    <n v="99999"/>
    <s v="USA"/>
    <x v="7"/>
    <x v="0"/>
    <d v="2014-05-11T00:00:00"/>
    <s v="Shipping Company A"/>
    <s v="Sven Mortensen"/>
    <s v="123 9th Street"/>
    <x v="11"/>
    <s v="UT"/>
    <n v="99999"/>
    <x v="0"/>
    <s v="Check"/>
    <x v="15"/>
    <x v="10"/>
    <n v="34.799999999999997"/>
    <n v="37"/>
    <x v="101"/>
    <n v="132.62279999999998"/>
  </r>
  <r>
    <n v="1118"/>
    <x v="49"/>
    <n v="6"/>
    <x v="6"/>
    <s v="123 6th Street"/>
    <s v="Milwaukee"/>
    <x v="5"/>
    <n v="99999"/>
    <s v="USA"/>
    <x v="4"/>
    <x v="2"/>
    <n v="41767"/>
    <s v="Shipping Company B"/>
    <s v="Francisco Pérez-Olaeta"/>
    <s v="123 6th Street"/>
    <x v="5"/>
    <s v="WI"/>
    <n v="99999"/>
    <x v="0"/>
    <s v="Credit Card"/>
    <x v="0"/>
    <x v="0"/>
    <n v="14"/>
    <n v="84"/>
    <x v="102"/>
    <n v="112.896"/>
  </r>
  <r>
    <n v="1119"/>
    <x v="51"/>
    <n v="8"/>
    <x v="3"/>
    <s v="123 8th Street"/>
    <s v="Portland"/>
    <x v="2"/>
    <n v="99999"/>
    <s v="USA"/>
    <x v="2"/>
    <x v="2"/>
    <n v="41769"/>
    <s v="Shipping Company B"/>
    <s v="Elizabeth Andersen"/>
    <s v="123 8th Street"/>
    <x v="2"/>
    <s v="OR"/>
    <n v="99999"/>
    <x v="0"/>
    <s v="Check"/>
    <x v="9"/>
    <x v="5"/>
    <n v="40"/>
    <n v="73"/>
    <x v="103"/>
    <n v="283.24"/>
  </r>
  <r>
    <n v="1120"/>
    <x v="51"/>
    <n v="8"/>
    <x v="3"/>
    <s v="123 8th Street"/>
    <s v="Portland"/>
    <x v="2"/>
    <n v="99999"/>
    <s v="USA"/>
    <x v="2"/>
    <x v="2"/>
    <n v="41769"/>
    <s v="Shipping Company B"/>
    <s v="Elizabeth Andersen"/>
    <s v="123 8th Street"/>
    <x v="2"/>
    <s v="OR"/>
    <n v="99999"/>
    <x v="0"/>
    <s v="Check"/>
    <x v="6"/>
    <x v="2"/>
    <n v="9.1999999999999993"/>
    <n v="51"/>
    <x v="104"/>
    <n v="44.573999999999998"/>
  </r>
  <r>
    <n v="1121"/>
    <x v="57"/>
    <n v="25"/>
    <x v="13"/>
    <s v="789 25th Street"/>
    <s v="Chicago"/>
    <x v="7"/>
    <n v="99999"/>
    <s v="USA"/>
    <x v="6"/>
    <x v="1"/>
    <n v="41786"/>
    <s v="Shipping Company A"/>
    <s v="John Rodman"/>
    <s v="789 25th Street"/>
    <x v="7"/>
    <s v="IL"/>
    <n v="99999"/>
    <x v="0"/>
    <s v="Cash"/>
    <x v="21"/>
    <x v="2"/>
    <n v="10"/>
    <n v="66"/>
    <x v="91"/>
    <n v="68.64"/>
  </r>
  <r>
    <n v="1122"/>
    <x v="58"/>
    <n v="26"/>
    <x v="14"/>
    <s v="789 26th Street"/>
    <s v="Miami"/>
    <x v="9"/>
    <n v="99999"/>
    <s v="USA"/>
    <x v="5"/>
    <x v="3"/>
    <n v="41787"/>
    <s v="Shipping Company C"/>
    <s v="Run Liu"/>
    <s v="789 26th Street"/>
    <x v="9"/>
    <s v="FL"/>
    <n v="99999"/>
    <x v="0"/>
    <s v="Credit Card"/>
    <x v="22"/>
    <x v="13"/>
    <n v="21.35"/>
    <n v="36"/>
    <x v="105"/>
    <n v="74.554200000000009"/>
  </r>
  <r>
    <n v="1123"/>
    <x v="58"/>
    <n v="26"/>
    <x v="14"/>
    <s v="789 26th Street"/>
    <s v="Miami"/>
    <x v="9"/>
    <n v="99999"/>
    <s v="USA"/>
    <x v="5"/>
    <x v="3"/>
    <d v="2014-05-28T00:00:00"/>
    <s v="Shipping Company C"/>
    <s v="Run Liu"/>
    <s v="789 26th Street"/>
    <x v="9"/>
    <s v="FL"/>
    <n v="99999"/>
    <x v="0"/>
    <s v="Credit Card"/>
    <x v="8"/>
    <x v="4"/>
    <n v="9.65"/>
    <n v="87"/>
    <x v="106"/>
    <n v="87.313200000000009"/>
  </r>
  <r>
    <n v="1124"/>
    <x v="58"/>
    <n v="26"/>
    <x v="14"/>
    <s v="789 26th Street"/>
    <s v="Miami"/>
    <x v="9"/>
    <n v="99999"/>
    <s v="USA"/>
    <x v="5"/>
    <x v="3"/>
    <d v="2014-05-28T00:00:00"/>
    <s v="Shipping Company C"/>
    <s v="Run Liu"/>
    <s v="789 26th Street"/>
    <x v="9"/>
    <s v="FL"/>
    <n v="99999"/>
    <x v="0"/>
    <s v="Credit Card"/>
    <x v="13"/>
    <x v="8"/>
    <n v="18.399999999999999"/>
    <n v="64"/>
    <x v="107"/>
    <n v="115.40479999999999"/>
  </r>
  <r>
    <n v="1125"/>
    <x v="47"/>
    <n v="29"/>
    <x v="4"/>
    <s v="789 29th Street"/>
    <s v="Denver"/>
    <x v="3"/>
    <n v="99999"/>
    <s v="USA"/>
    <x v="3"/>
    <x v="0"/>
    <d v="2014-05-31T00:00:00"/>
    <s v="Shipping Company B"/>
    <s v="Soo Jung Lee"/>
    <s v="789 29th Street"/>
    <x v="3"/>
    <s v="CO"/>
    <n v="99999"/>
    <x v="0"/>
    <s v="Check"/>
    <x v="0"/>
    <x v="0"/>
    <n v="14"/>
    <n v="21"/>
    <x v="108"/>
    <n v="30.870000000000005"/>
  </r>
  <r>
    <n v="1126"/>
    <x v="49"/>
    <n v="6"/>
    <x v="6"/>
    <s v="123 6th Street"/>
    <s v="Milwaukee"/>
    <x v="5"/>
    <n v="99999"/>
    <s v="USA"/>
    <x v="4"/>
    <x v="2"/>
    <d v="2014-05-08T00:00:00"/>
    <s v="Shipping Company C"/>
    <s v="Francisco Pérez-Olaeta"/>
    <s v="123 6th Street"/>
    <x v="5"/>
    <s v="WI"/>
    <n v="99999"/>
    <x v="0"/>
    <s v="Check"/>
    <x v="7"/>
    <x v="3"/>
    <n v="12.75"/>
    <n v="19"/>
    <x v="109"/>
    <n v="24.46725"/>
  </r>
  <r>
    <n v="1128"/>
    <x v="59"/>
    <n v="4"/>
    <x v="1"/>
    <s v="123 4th Street"/>
    <s v="New York"/>
    <x v="1"/>
    <n v="99999"/>
    <s v="USA"/>
    <x v="1"/>
    <x v="1"/>
    <d v="2014-05-06T00:00:00"/>
    <s v="Shipping Company A"/>
    <s v="Christina Lee"/>
    <s v="123 4th Street"/>
    <x v="1"/>
    <s v="NY"/>
    <n v="99999"/>
    <x v="0"/>
    <s v="Credit Card"/>
    <x v="23"/>
    <x v="6"/>
    <n v="81"/>
    <n v="23"/>
    <x v="110"/>
    <n v="195.61500000000001"/>
  </r>
  <r>
    <n v="1129"/>
    <x v="59"/>
    <n v="4"/>
    <x v="1"/>
    <s v="123 4th Street"/>
    <s v="New York"/>
    <x v="1"/>
    <n v="99999"/>
    <s v="USA"/>
    <x v="1"/>
    <x v="1"/>
    <d v="2014-05-06T00:00:00"/>
    <s v="Shipping Company A"/>
    <s v="Christina Lee"/>
    <s v="123 4th Street"/>
    <x v="1"/>
    <s v="NY"/>
    <n v="99999"/>
    <x v="0"/>
    <s v="Credit Card"/>
    <x v="24"/>
    <x v="14"/>
    <n v="7"/>
    <n v="72"/>
    <x v="111"/>
    <n v="51.912000000000006"/>
  </r>
  <r>
    <n v="1131"/>
    <x v="51"/>
    <n v="8"/>
    <x v="3"/>
    <s v="123 8th Street"/>
    <s v="Portland"/>
    <x v="2"/>
    <n v="99999"/>
    <s v="USA"/>
    <x v="2"/>
    <x v="2"/>
    <d v="2014-05-10T00:00:00"/>
    <s v="Shipping Company C"/>
    <s v="Elizabeth Andersen"/>
    <s v="123 8th Street"/>
    <x v="2"/>
    <s v="OR"/>
    <n v="99999"/>
    <x v="0"/>
    <s v="Credit Card"/>
    <x v="15"/>
    <x v="10"/>
    <n v="34.799999999999997"/>
    <n v="22"/>
    <x v="112"/>
    <n v="75.02879999999999"/>
  </r>
  <r>
    <n v="1134"/>
    <x v="48"/>
    <n v="3"/>
    <x v="5"/>
    <s v="123 3rd Street"/>
    <s v="Los Angelas"/>
    <x v="4"/>
    <n v="99999"/>
    <s v="USA"/>
    <x v="0"/>
    <x v="0"/>
    <d v="2014-05-05T00:00:00"/>
    <s v="Shipping Company B"/>
    <s v="Thomas Axerr"/>
    <s v="123 3rd Street"/>
    <x v="4"/>
    <s v="CA"/>
    <n v="99999"/>
    <x v="0"/>
    <s v="Cash"/>
    <x v="16"/>
    <x v="7"/>
    <n v="10"/>
    <n v="82"/>
    <x v="113"/>
    <n v="85.28"/>
  </r>
  <r>
    <n v="1135"/>
    <x v="48"/>
    <n v="3"/>
    <x v="5"/>
    <s v="123 3rd Street"/>
    <s v="Los Angelas"/>
    <x v="4"/>
    <n v="99999"/>
    <s v="USA"/>
    <x v="0"/>
    <x v="0"/>
    <d v="2014-05-05T00:00:00"/>
    <s v="Shipping Company B"/>
    <s v="Thomas Axerr"/>
    <s v="123 3rd Street"/>
    <x v="4"/>
    <s v="CA"/>
    <n v="99999"/>
    <x v="0"/>
    <s v="Cash"/>
    <x v="9"/>
    <x v="5"/>
    <n v="40"/>
    <n v="98"/>
    <x v="114"/>
    <n v="411.6"/>
  </r>
  <r>
    <n v="1138"/>
    <x v="60"/>
    <n v="7"/>
    <x v="9"/>
    <s v="123 7th Street"/>
    <s v="Boise"/>
    <x v="8"/>
    <n v="99999"/>
    <s v="USA"/>
    <x v="2"/>
    <x v="2"/>
    <m/>
    <m/>
    <s v="Ming-Yang Xie"/>
    <s v="123 7th Street"/>
    <x v="8"/>
    <s v="ID"/>
    <n v="99999"/>
    <x v="0"/>
    <m/>
    <x v="5"/>
    <x v="0"/>
    <n v="46"/>
    <n v="71"/>
    <x v="115"/>
    <n v="310.27"/>
  </r>
  <r>
    <n v="1139"/>
    <x v="61"/>
    <n v="10"/>
    <x v="8"/>
    <s v="123 10th Street"/>
    <s v="Chicago"/>
    <x v="7"/>
    <n v="99999"/>
    <s v="USA"/>
    <x v="6"/>
    <x v="1"/>
    <d v="2014-06-12T00:00:00"/>
    <s v="Shipping Company A"/>
    <s v="Roland Wacker"/>
    <s v="123 10th Street"/>
    <x v="7"/>
    <s v="IL"/>
    <n v="99999"/>
    <x v="0"/>
    <m/>
    <x v="11"/>
    <x v="6"/>
    <n v="25"/>
    <n v="40"/>
    <x v="116"/>
    <n v="105"/>
  </r>
  <r>
    <n v="1140"/>
    <x v="61"/>
    <n v="10"/>
    <x v="8"/>
    <s v="123 10th Street"/>
    <s v="Chicago"/>
    <x v="7"/>
    <n v="99999"/>
    <s v="USA"/>
    <x v="6"/>
    <x v="1"/>
    <d v="2014-06-12T00:00:00"/>
    <s v="Shipping Company A"/>
    <s v="Roland Wacker"/>
    <s v="123 10th Street"/>
    <x v="7"/>
    <s v="IL"/>
    <n v="99999"/>
    <x v="0"/>
    <m/>
    <x v="12"/>
    <x v="7"/>
    <n v="22"/>
    <n v="80"/>
    <x v="117"/>
    <n v="172.48"/>
  </r>
  <r>
    <n v="1141"/>
    <x v="61"/>
    <n v="10"/>
    <x v="8"/>
    <s v="123 10th Street"/>
    <s v="Chicago"/>
    <x v="7"/>
    <n v="99999"/>
    <s v="USA"/>
    <x v="6"/>
    <x v="1"/>
    <d v="2014-06-12T00:00:00"/>
    <s v="Shipping Company A"/>
    <s v="Roland Wacker"/>
    <s v="123 10th Street"/>
    <x v="7"/>
    <s v="IL"/>
    <n v="99999"/>
    <x v="0"/>
    <m/>
    <x v="6"/>
    <x v="2"/>
    <n v="9.1999999999999993"/>
    <n v="38"/>
    <x v="7"/>
    <n v="33.211999999999996"/>
  </r>
  <r>
    <n v="1142"/>
    <x v="62"/>
    <n v="11"/>
    <x v="10"/>
    <s v="123 11th Street"/>
    <s v="Miami"/>
    <x v="9"/>
    <n v="99999"/>
    <s v="USA"/>
    <x v="5"/>
    <x v="3"/>
    <m/>
    <s v="Shipping Company C"/>
    <s v="Peter Krschne"/>
    <s v="123 11th Street"/>
    <x v="9"/>
    <s v="FL"/>
    <n v="99999"/>
    <x v="0"/>
    <m/>
    <x v="1"/>
    <x v="1"/>
    <n v="3.5"/>
    <n v="28"/>
    <x v="118"/>
    <n v="10.290000000000001"/>
  </r>
  <r>
    <n v="1143"/>
    <x v="62"/>
    <n v="11"/>
    <x v="10"/>
    <s v="123 11th Street"/>
    <s v="Miami"/>
    <x v="9"/>
    <n v="99999"/>
    <s v="USA"/>
    <x v="5"/>
    <x v="3"/>
    <m/>
    <s v="Shipping Company C"/>
    <s v="Peter Krschne"/>
    <s v="123 11th Street"/>
    <x v="9"/>
    <s v="FL"/>
    <n v="99999"/>
    <x v="0"/>
    <m/>
    <x v="10"/>
    <x v="0"/>
    <n v="2.99"/>
    <n v="60"/>
    <x v="119"/>
    <n v="17.581200000000003"/>
  </r>
  <r>
    <n v="1144"/>
    <x v="63"/>
    <n v="1"/>
    <x v="11"/>
    <s v="123 1st Street"/>
    <s v="Seattle"/>
    <x v="10"/>
    <n v="99999"/>
    <s v="USA"/>
    <x v="2"/>
    <x v="2"/>
    <m/>
    <m/>
    <s v="Anna Bedecs"/>
    <s v="123 1st Street"/>
    <x v="10"/>
    <s v="WA"/>
    <n v="99999"/>
    <x v="0"/>
    <m/>
    <x v="4"/>
    <x v="0"/>
    <n v="18"/>
    <n v="33"/>
    <x v="120"/>
    <n v="58.212000000000003"/>
  </r>
  <r>
    <n v="1145"/>
    <x v="63"/>
    <n v="1"/>
    <x v="11"/>
    <s v="123 1st Street"/>
    <s v="Seattle"/>
    <x v="10"/>
    <n v="99999"/>
    <s v="USA"/>
    <x v="2"/>
    <x v="2"/>
    <m/>
    <m/>
    <s v="Anna Bedecs"/>
    <s v="123 1st Street"/>
    <x v="10"/>
    <s v="WA"/>
    <n v="99999"/>
    <x v="0"/>
    <m/>
    <x v="5"/>
    <x v="0"/>
    <n v="46"/>
    <n v="22"/>
    <x v="121"/>
    <n v="101.2"/>
  </r>
  <r>
    <n v="1146"/>
    <x v="63"/>
    <n v="1"/>
    <x v="11"/>
    <s v="123 1st Street"/>
    <s v="Seattle"/>
    <x v="10"/>
    <n v="99999"/>
    <s v="USA"/>
    <x v="2"/>
    <x v="2"/>
    <m/>
    <m/>
    <s v="Anna Bedecs"/>
    <s v="123 1st Street"/>
    <x v="10"/>
    <s v="WA"/>
    <n v="99999"/>
    <x v="0"/>
    <m/>
    <x v="10"/>
    <x v="0"/>
    <n v="2.99"/>
    <n v="51"/>
    <x v="122"/>
    <n v="14.944020000000002"/>
  </r>
  <r>
    <n v="1147"/>
    <x v="64"/>
    <n v="28"/>
    <x v="7"/>
    <s v="789 28th Street"/>
    <s v="Memphis"/>
    <x v="6"/>
    <n v="99999"/>
    <s v="USA"/>
    <x v="5"/>
    <x v="3"/>
    <d v="2014-06-30T00:00:00"/>
    <s v="Shipping Company C"/>
    <s v="Amritansh Raghav"/>
    <s v="789 28th Street"/>
    <x v="6"/>
    <s v="TN"/>
    <n v="99999"/>
    <x v="0"/>
    <s v="Credit Card"/>
    <x v="8"/>
    <x v="4"/>
    <n v="9.65"/>
    <n v="60"/>
    <x v="123"/>
    <n v="57.321000000000005"/>
  </r>
  <r>
    <n v="1148"/>
    <x v="64"/>
    <n v="28"/>
    <x v="7"/>
    <s v="789 28th Street"/>
    <s v="Memphis"/>
    <x v="6"/>
    <n v="99999"/>
    <s v="USA"/>
    <x v="5"/>
    <x v="3"/>
    <d v="2014-06-30T00:00:00"/>
    <s v="Shipping Company C"/>
    <s v="Amritansh Raghav"/>
    <s v="789 28th Street"/>
    <x v="6"/>
    <s v="TN"/>
    <n v="99999"/>
    <x v="0"/>
    <s v="Credit Card"/>
    <x v="13"/>
    <x v="8"/>
    <n v="18.399999999999999"/>
    <n v="98"/>
    <x v="124"/>
    <n v="183.9264"/>
  </r>
  <r>
    <n v="1149"/>
    <x v="65"/>
    <n v="9"/>
    <x v="12"/>
    <s v="123 9th Street"/>
    <s v="Salt Lake City"/>
    <x v="11"/>
    <n v="99999"/>
    <s v="USA"/>
    <x v="7"/>
    <x v="0"/>
    <d v="2014-06-11T00:00:00"/>
    <s v="Shipping Company A"/>
    <s v="Sven Mortensen"/>
    <s v="123 9th Street"/>
    <x v="11"/>
    <s v="UT"/>
    <n v="99999"/>
    <x v="0"/>
    <s v="Check"/>
    <x v="14"/>
    <x v="9"/>
    <n v="19.5"/>
    <n v="27"/>
    <x v="125"/>
    <n v="51.070500000000003"/>
  </r>
  <r>
    <n v="1150"/>
    <x v="65"/>
    <n v="9"/>
    <x v="12"/>
    <s v="123 9th Street"/>
    <s v="Salt Lake City"/>
    <x v="11"/>
    <n v="99999"/>
    <s v="USA"/>
    <x v="7"/>
    <x v="0"/>
    <d v="2014-06-11T00:00:00"/>
    <s v="Shipping Company A"/>
    <s v="Sven Mortensen"/>
    <s v="123 9th Street"/>
    <x v="11"/>
    <s v="UT"/>
    <n v="99999"/>
    <x v="0"/>
    <s v="Check"/>
    <x v="15"/>
    <x v="10"/>
    <n v="34.799999999999997"/>
    <n v="88"/>
    <x v="126"/>
    <n v="303.17759999999993"/>
  </r>
  <r>
    <n v="1151"/>
    <x v="66"/>
    <n v="6"/>
    <x v="6"/>
    <s v="123 6th Street"/>
    <s v="Milwaukee"/>
    <x v="5"/>
    <n v="99999"/>
    <s v="USA"/>
    <x v="4"/>
    <x v="2"/>
    <d v="2014-06-08T00:00:00"/>
    <s v="Shipping Company B"/>
    <s v="Francisco Pérez-Olaeta"/>
    <s v="123 6th Street"/>
    <x v="5"/>
    <s v="WI"/>
    <n v="99999"/>
    <x v="0"/>
    <s v="Credit Card"/>
    <x v="0"/>
    <x v="0"/>
    <n v="14"/>
    <n v="65"/>
    <x v="127"/>
    <n v="95.55"/>
  </r>
  <r>
    <n v="1152"/>
    <x v="67"/>
    <n v="8"/>
    <x v="3"/>
    <s v="123 8th Street"/>
    <s v="Portland"/>
    <x v="2"/>
    <n v="99999"/>
    <s v="USA"/>
    <x v="2"/>
    <x v="2"/>
    <d v="2014-06-10T00:00:00"/>
    <s v="Shipping Company B"/>
    <s v="Elizabeth Andersen"/>
    <s v="123 8th Street"/>
    <x v="2"/>
    <s v="OR"/>
    <n v="99999"/>
    <x v="0"/>
    <s v="Check"/>
    <x v="9"/>
    <x v="5"/>
    <n v="40"/>
    <n v="38"/>
    <x v="128"/>
    <n v="148.96"/>
  </r>
  <r>
    <n v="1153"/>
    <x v="67"/>
    <n v="8"/>
    <x v="3"/>
    <s v="123 8th Street"/>
    <s v="Portland"/>
    <x v="2"/>
    <n v="99999"/>
    <s v="USA"/>
    <x v="2"/>
    <x v="2"/>
    <n v="41800"/>
    <s v="Shipping Company B"/>
    <s v="Elizabeth Andersen"/>
    <s v="123 8th Street"/>
    <x v="2"/>
    <s v="OR"/>
    <n v="99999"/>
    <x v="0"/>
    <s v="Check"/>
    <x v="6"/>
    <x v="2"/>
    <n v="9.1999999999999993"/>
    <n v="80"/>
    <x v="129"/>
    <n v="70.656000000000006"/>
  </r>
  <r>
    <n v="1154"/>
    <x v="68"/>
    <n v="25"/>
    <x v="13"/>
    <s v="789 25th Street"/>
    <s v="Chicago"/>
    <x v="7"/>
    <n v="99999"/>
    <s v="USA"/>
    <x v="6"/>
    <x v="1"/>
    <d v="2014-06-27T00:00:00"/>
    <s v="Shipping Company A"/>
    <s v="John Rodman"/>
    <s v="789 25th Street"/>
    <x v="7"/>
    <s v="IL"/>
    <n v="99999"/>
    <x v="0"/>
    <s v="Cash"/>
    <x v="21"/>
    <x v="2"/>
    <n v="10"/>
    <n v="49"/>
    <x v="130"/>
    <n v="47.04"/>
  </r>
  <r>
    <n v="1155"/>
    <x v="69"/>
    <n v="26"/>
    <x v="14"/>
    <s v="789 26th Street"/>
    <s v="Miami"/>
    <x v="9"/>
    <n v="99999"/>
    <s v="USA"/>
    <x v="5"/>
    <x v="3"/>
    <d v="2014-06-28T00:00:00"/>
    <s v="Shipping Company C"/>
    <s v="Run Liu"/>
    <s v="789 26th Street"/>
    <x v="9"/>
    <s v="FL"/>
    <n v="99999"/>
    <x v="0"/>
    <s v="Credit Card"/>
    <x v="22"/>
    <x v="13"/>
    <n v="21.35"/>
    <n v="90"/>
    <x v="131"/>
    <n v="186.38550000000004"/>
  </r>
  <r>
    <n v="1156"/>
    <x v="69"/>
    <n v="26"/>
    <x v="14"/>
    <s v="789 26th Street"/>
    <s v="Miami"/>
    <x v="9"/>
    <n v="99999"/>
    <s v="USA"/>
    <x v="5"/>
    <x v="3"/>
    <d v="2014-06-28T00:00:00"/>
    <s v="Shipping Company C"/>
    <s v="Run Liu"/>
    <s v="789 26th Street"/>
    <x v="9"/>
    <s v="FL"/>
    <n v="99999"/>
    <x v="0"/>
    <s v="Credit Card"/>
    <x v="8"/>
    <x v="4"/>
    <n v="9.65"/>
    <n v="60"/>
    <x v="123"/>
    <n v="59.637000000000008"/>
  </r>
  <r>
    <n v="1157"/>
    <x v="69"/>
    <n v="26"/>
    <x v="14"/>
    <s v="789 26th Street"/>
    <s v="Miami"/>
    <x v="9"/>
    <n v="99999"/>
    <s v="USA"/>
    <x v="5"/>
    <x v="3"/>
    <n v="41818"/>
    <s v="Shipping Company C"/>
    <s v="Run Liu"/>
    <s v="789 26th Street"/>
    <x v="9"/>
    <s v="FL"/>
    <n v="99999"/>
    <x v="0"/>
    <s v="Credit Card"/>
    <x v="13"/>
    <x v="8"/>
    <n v="18.399999999999999"/>
    <n v="39"/>
    <x v="132"/>
    <n v="71.759999999999991"/>
  </r>
  <r>
    <n v="1158"/>
    <x v="70"/>
    <n v="29"/>
    <x v="4"/>
    <s v="789 29th Street"/>
    <s v="Denver"/>
    <x v="3"/>
    <n v="99999"/>
    <s v="USA"/>
    <x v="3"/>
    <x v="0"/>
    <n v="41821"/>
    <s v="Shipping Company B"/>
    <s v="Soo Jung Lee"/>
    <s v="789 29th Street"/>
    <x v="3"/>
    <s v="CO"/>
    <n v="99999"/>
    <x v="0"/>
    <s v="Check"/>
    <x v="0"/>
    <x v="0"/>
    <n v="14"/>
    <n v="79"/>
    <x v="133"/>
    <n v="113.91800000000001"/>
  </r>
  <r>
    <n v="1159"/>
    <x v="66"/>
    <n v="6"/>
    <x v="6"/>
    <s v="123 6th Street"/>
    <s v="Milwaukee"/>
    <x v="5"/>
    <n v="99999"/>
    <s v="USA"/>
    <x v="4"/>
    <x v="2"/>
    <n v="41798"/>
    <s v="Shipping Company C"/>
    <s v="Francisco Pérez-Olaeta"/>
    <s v="123 6th Street"/>
    <x v="5"/>
    <s v="WI"/>
    <n v="99999"/>
    <x v="0"/>
    <s v="Check"/>
    <x v="7"/>
    <x v="3"/>
    <n v="12.75"/>
    <n v="44"/>
    <x v="134"/>
    <n v="57.222000000000001"/>
  </r>
  <r>
    <n v="1161"/>
    <x v="71"/>
    <n v="4"/>
    <x v="1"/>
    <s v="123 4th Street"/>
    <s v="New York"/>
    <x v="1"/>
    <n v="99999"/>
    <s v="USA"/>
    <x v="1"/>
    <x v="1"/>
    <n v="41796"/>
    <s v="Shipping Company A"/>
    <s v="Christina Lee"/>
    <s v="123 4th Street"/>
    <x v="1"/>
    <s v="NY"/>
    <n v="99999"/>
    <x v="0"/>
    <s v="Credit Card"/>
    <x v="23"/>
    <x v="6"/>
    <n v="81"/>
    <n v="98"/>
    <x v="135"/>
    <n v="769.98599999999999"/>
  </r>
  <r>
    <n v="1162"/>
    <x v="71"/>
    <n v="4"/>
    <x v="1"/>
    <s v="123 4th Street"/>
    <s v="New York"/>
    <x v="1"/>
    <n v="99999"/>
    <s v="USA"/>
    <x v="1"/>
    <x v="1"/>
    <n v="41796"/>
    <s v="Shipping Company A"/>
    <s v="Christina Lee"/>
    <s v="123 4th Street"/>
    <x v="1"/>
    <s v="NY"/>
    <n v="99999"/>
    <x v="0"/>
    <s v="Credit Card"/>
    <x v="24"/>
    <x v="14"/>
    <n v="7"/>
    <n v="61"/>
    <x v="136"/>
    <n v="42.273000000000003"/>
  </r>
  <r>
    <n v="1164"/>
    <x v="67"/>
    <n v="8"/>
    <x v="3"/>
    <s v="123 8th Street"/>
    <s v="Portland"/>
    <x v="2"/>
    <n v="99999"/>
    <s v="USA"/>
    <x v="2"/>
    <x v="2"/>
    <d v="2014-06-10T00:00:00"/>
    <s v="Shipping Company C"/>
    <s v="Elizabeth Andersen"/>
    <s v="123 8th Street"/>
    <x v="2"/>
    <s v="OR"/>
    <n v="99999"/>
    <x v="0"/>
    <s v="Credit Card"/>
    <x v="15"/>
    <x v="10"/>
    <n v="34.799999999999997"/>
    <n v="30"/>
    <x v="137"/>
    <n v="109.62"/>
  </r>
  <r>
    <n v="1167"/>
    <x v="72"/>
    <n v="3"/>
    <x v="5"/>
    <s v="123 3rd Street"/>
    <s v="Los Angelas"/>
    <x v="4"/>
    <n v="99999"/>
    <s v="USA"/>
    <x v="0"/>
    <x v="0"/>
    <d v="2014-06-05T00:00:00"/>
    <s v="Shipping Company B"/>
    <s v="Thomas Axerr"/>
    <s v="123 3rd Street"/>
    <x v="4"/>
    <s v="CA"/>
    <n v="99999"/>
    <x v="0"/>
    <s v="Cash"/>
    <x v="16"/>
    <x v="7"/>
    <n v="10"/>
    <n v="24"/>
    <x v="138"/>
    <n v="25.200000000000003"/>
  </r>
  <r>
    <n v="1168"/>
    <x v="72"/>
    <n v="3"/>
    <x v="5"/>
    <s v="123 3rd Street"/>
    <s v="Los Angelas"/>
    <x v="4"/>
    <n v="99999"/>
    <s v="USA"/>
    <x v="0"/>
    <x v="0"/>
    <d v="2014-06-05T00:00:00"/>
    <s v="Shipping Company B"/>
    <s v="Thomas Axerr"/>
    <s v="123 3rd Street"/>
    <x v="4"/>
    <s v="CA"/>
    <n v="99999"/>
    <x v="0"/>
    <s v="Cash"/>
    <x v="9"/>
    <x v="5"/>
    <n v="40"/>
    <n v="28"/>
    <x v="139"/>
    <n v="109.75999999999999"/>
  </r>
  <r>
    <n v="1172"/>
    <x v="61"/>
    <n v="10"/>
    <x v="8"/>
    <s v="123 10th Street"/>
    <s v="Chicago"/>
    <x v="7"/>
    <n v="99999"/>
    <s v="USA"/>
    <x v="6"/>
    <x v="1"/>
    <d v="2014-06-12T00:00:00"/>
    <s v="Shipping Company B"/>
    <s v="Roland Wacker"/>
    <s v="123 10th Street"/>
    <x v="7"/>
    <s v="IL"/>
    <n v="99999"/>
    <x v="0"/>
    <s v="Credit Card"/>
    <x v="18"/>
    <x v="1"/>
    <n v="10"/>
    <n v="74"/>
    <x v="140"/>
    <n v="71.78"/>
  </r>
  <r>
    <n v="1174"/>
    <x v="61"/>
    <n v="10"/>
    <x v="8"/>
    <s v="123 10th Street"/>
    <s v="Chicago"/>
    <x v="7"/>
    <n v="99999"/>
    <s v="USA"/>
    <x v="6"/>
    <x v="1"/>
    <m/>
    <s v="Shipping Company A"/>
    <s v="Roland Wacker"/>
    <s v="123 10th Street"/>
    <x v="7"/>
    <s v="IL"/>
    <n v="99999"/>
    <x v="0"/>
    <m/>
    <x v="1"/>
    <x v="1"/>
    <n v="3.5"/>
    <n v="90"/>
    <x v="141"/>
    <n v="30.24"/>
  </r>
  <r>
    <n v="1175"/>
    <x v="62"/>
    <n v="11"/>
    <x v="10"/>
    <s v="123 11th Street"/>
    <s v="Miami"/>
    <x v="9"/>
    <n v="99999"/>
    <s v="USA"/>
    <x v="5"/>
    <x v="3"/>
    <m/>
    <s v="Shipping Company C"/>
    <s v="Peter Krschne"/>
    <s v="123 11th Street"/>
    <x v="9"/>
    <s v="FL"/>
    <n v="99999"/>
    <x v="0"/>
    <m/>
    <x v="9"/>
    <x v="5"/>
    <n v="40"/>
    <n v="27"/>
    <x v="142"/>
    <n v="111.24000000000001"/>
  </r>
  <r>
    <n v="1176"/>
    <x v="63"/>
    <n v="1"/>
    <x v="11"/>
    <s v="123 1st Street"/>
    <s v="Seattle"/>
    <x v="10"/>
    <n v="99999"/>
    <s v="USA"/>
    <x v="2"/>
    <x v="2"/>
    <m/>
    <s v="Shipping Company C"/>
    <s v="Anna Bedecs"/>
    <s v="123 1st Street"/>
    <x v="10"/>
    <s v="WA"/>
    <n v="99999"/>
    <x v="0"/>
    <m/>
    <x v="13"/>
    <x v="8"/>
    <n v="18.399999999999999"/>
    <n v="71"/>
    <x v="143"/>
    <n v="137.172"/>
  </r>
  <r>
    <n v="1177"/>
    <x v="64"/>
    <n v="28"/>
    <x v="7"/>
    <s v="789 28th Street"/>
    <s v="Memphis"/>
    <x v="6"/>
    <n v="99999"/>
    <s v="USA"/>
    <x v="5"/>
    <x v="3"/>
    <d v="2014-06-30T00:00:00"/>
    <s v="Shipping Company C"/>
    <s v="Amritansh Raghav"/>
    <s v="789 28th Street"/>
    <x v="6"/>
    <s v="TN"/>
    <n v="99999"/>
    <x v="0"/>
    <s v="Credit Card"/>
    <x v="5"/>
    <x v="0"/>
    <n v="46"/>
    <n v="74"/>
    <x v="144"/>
    <n v="340.40000000000003"/>
  </r>
  <r>
    <n v="1178"/>
    <x v="65"/>
    <n v="9"/>
    <x v="12"/>
    <s v="123 9th Street"/>
    <s v="Salt Lake City"/>
    <x v="11"/>
    <n v="99999"/>
    <s v="USA"/>
    <x v="7"/>
    <x v="0"/>
    <d v="2014-06-11T00:00:00"/>
    <s v="Shipping Company A"/>
    <s v="Sven Mortensen"/>
    <s v="123 9th Street"/>
    <x v="11"/>
    <s v="UT"/>
    <n v="99999"/>
    <x v="0"/>
    <s v="Check"/>
    <x v="8"/>
    <x v="4"/>
    <n v="9.65"/>
    <n v="76"/>
    <x v="145"/>
    <n v="72.6066"/>
  </r>
  <r>
    <n v="1179"/>
    <x v="66"/>
    <n v="6"/>
    <x v="6"/>
    <s v="123 6th Street"/>
    <s v="Milwaukee"/>
    <x v="5"/>
    <n v="99999"/>
    <s v="USA"/>
    <x v="4"/>
    <x v="2"/>
    <d v="2014-06-08T00:00:00"/>
    <s v="Shipping Company B"/>
    <s v="Francisco Pérez-Olaeta"/>
    <s v="123 6th Street"/>
    <x v="5"/>
    <s v="WI"/>
    <n v="99999"/>
    <x v="0"/>
    <s v="Credit Card"/>
    <x v="7"/>
    <x v="3"/>
    <n v="12.75"/>
    <n v="96"/>
    <x v="146"/>
    <n v="123.62400000000001"/>
  </r>
  <r>
    <n v="1180"/>
    <x v="67"/>
    <n v="8"/>
    <x v="3"/>
    <s v="123 8th Street"/>
    <s v="Portland"/>
    <x v="2"/>
    <n v="99999"/>
    <s v="USA"/>
    <x v="2"/>
    <x v="2"/>
    <d v="2014-06-10T00:00:00"/>
    <s v="Shipping Company B"/>
    <s v="Elizabeth Andersen"/>
    <s v="123 8th Street"/>
    <x v="2"/>
    <s v="OR"/>
    <n v="99999"/>
    <x v="0"/>
    <s v="Check"/>
    <x v="7"/>
    <x v="3"/>
    <n v="12.75"/>
    <n v="92"/>
    <x v="147"/>
    <n v="116.12700000000001"/>
  </r>
  <r>
    <n v="1181"/>
    <x v="68"/>
    <n v="25"/>
    <x v="13"/>
    <s v="789 25th Street"/>
    <s v="Chicago"/>
    <x v="7"/>
    <n v="99999"/>
    <s v="USA"/>
    <x v="6"/>
    <x v="1"/>
    <d v="2014-06-27T00:00:00"/>
    <s v="Shipping Company A"/>
    <s v="John Rodman"/>
    <s v="789 25th Street"/>
    <x v="7"/>
    <s v="IL"/>
    <n v="99999"/>
    <x v="0"/>
    <s v="Cash"/>
    <x v="12"/>
    <x v="7"/>
    <n v="22"/>
    <n v="93"/>
    <x v="148"/>
    <n v="200.50800000000001"/>
  </r>
  <r>
    <n v="1182"/>
    <x v="69"/>
    <n v="26"/>
    <x v="14"/>
    <s v="789 26th Street"/>
    <s v="Miami"/>
    <x v="9"/>
    <n v="99999"/>
    <s v="USA"/>
    <x v="5"/>
    <x v="3"/>
    <d v="2014-06-28T00:00:00"/>
    <s v="Shipping Company C"/>
    <s v="Run Liu"/>
    <s v="789 26th Street"/>
    <x v="9"/>
    <s v="FL"/>
    <n v="99999"/>
    <x v="0"/>
    <s v="Credit Card"/>
    <x v="11"/>
    <x v="6"/>
    <n v="25"/>
    <n v="18"/>
    <x v="149"/>
    <n v="42.75"/>
  </r>
  <r>
    <n v="1183"/>
    <x v="70"/>
    <n v="29"/>
    <x v="4"/>
    <s v="789 29th Street"/>
    <s v="Denver"/>
    <x v="3"/>
    <n v="99999"/>
    <s v="USA"/>
    <x v="3"/>
    <x v="0"/>
    <d v="2014-07-01T00:00:00"/>
    <s v="Shipping Company B"/>
    <s v="Soo Jung Lee"/>
    <s v="789 29th Street"/>
    <x v="3"/>
    <s v="CO"/>
    <n v="99999"/>
    <x v="0"/>
    <s v="Check"/>
    <x v="19"/>
    <x v="12"/>
    <n v="39"/>
    <n v="98"/>
    <x v="150"/>
    <n v="397.48800000000006"/>
  </r>
  <r>
    <n v="1184"/>
    <x v="66"/>
    <n v="6"/>
    <x v="6"/>
    <s v="123 6th Street"/>
    <s v="Milwaukee"/>
    <x v="5"/>
    <n v="99999"/>
    <s v="USA"/>
    <x v="4"/>
    <x v="2"/>
    <d v="2014-06-08T00:00:00"/>
    <s v="Shipping Company C"/>
    <s v="Francisco Pérez-Olaeta"/>
    <s v="123 6th Street"/>
    <x v="5"/>
    <s v="WI"/>
    <n v="99999"/>
    <x v="0"/>
    <s v="Check"/>
    <x v="2"/>
    <x v="1"/>
    <n v="30"/>
    <n v="46"/>
    <x v="65"/>
    <n v="135.24"/>
  </r>
  <r>
    <n v="1185"/>
    <x v="66"/>
    <n v="6"/>
    <x v="6"/>
    <s v="123 6th Street"/>
    <s v="Milwaukee"/>
    <x v="5"/>
    <n v="99999"/>
    <s v="USA"/>
    <x v="4"/>
    <x v="2"/>
    <d v="2014-06-08T00:00:00"/>
    <s v="Shipping Company C"/>
    <s v="Francisco Pérez-Olaeta"/>
    <s v="123 6th Street"/>
    <x v="5"/>
    <s v="WI"/>
    <n v="99999"/>
    <x v="0"/>
    <s v="Check"/>
    <x v="3"/>
    <x v="1"/>
    <n v="53"/>
    <n v="14"/>
    <x v="48"/>
    <n v="74.2"/>
  </r>
  <r>
    <n v="1186"/>
    <x v="71"/>
    <n v="4"/>
    <x v="1"/>
    <s v="123 4th Street"/>
    <s v="New York"/>
    <x v="1"/>
    <n v="99999"/>
    <s v="USA"/>
    <x v="1"/>
    <x v="1"/>
    <m/>
    <m/>
    <s v="Christina Lee"/>
    <s v="123 4th Street"/>
    <x v="1"/>
    <s v="NY"/>
    <n v="99999"/>
    <x v="0"/>
    <m/>
    <x v="20"/>
    <x v="9"/>
    <n v="38"/>
    <n v="85"/>
    <x v="151"/>
    <n v="319.77"/>
  </r>
  <r>
    <n v="1187"/>
    <x v="72"/>
    <n v="3"/>
    <x v="5"/>
    <s v="123 3rd Street"/>
    <s v="Los Angelas"/>
    <x v="4"/>
    <n v="99999"/>
    <s v="USA"/>
    <x v="0"/>
    <x v="0"/>
    <m/>
    <m/>
    <s v="Thomas Axerr"/>
    <s v="123 3rd Street"/>
    <x v="4"/>
    <s v="CA"/>
    <n v="99999"/>
    <x v="0"/>
    <m/>
    <x v="10"/>
    <x v="0"/>
    <n v="2.99"/>
    <n v="88"/>
    <x v="76"/>
    <n v="25.522639999999999"/>
  </r>
  <r>
    <n v="1188"/>
    <x v="73"/>
    <n v="1"/>
    <x v="11"/>
    <s v="123 1st Street"/>
    <s v="Seattle"/>
    <x v="10"/>
    <n v="99999"/>
    <s v="USA"/>
    <x v="2"/>
    <x v="2"/>
    <m/>
    <m/>
    <s v="Anna Bedecs"/>
    <s v="123 1st Street"/>
    <x v="10"/>
    <s v="WA"/>
    <n v="99999"/>
    <x v="0"/>
    <m/>
    <x v="10"/>
    <x v="0"/>
    <n v="2.99"/>
    <n v="81"/>
    <x v="152"/>
    <n v="23.976810000000004"/>
  </r>
  <r>
    <n v="1189"/>
    <x v="74"/>
    <n v="28"/>
    <x v="7"/>
    <s v="789 28th Street"/>
    <s v="Memphis"/>
    <x v="6"/>
    <n v="99999"/>
    <s v="USA"/>
    <x v="5"/>
    <x v="3"/>
    <d v="2014-07-30T00:00:00"/>
    <s v="Shipping Company C"/>
    <s v="Amritansh Raghav"/>
    <s v="789 28th Street"/>
    <x v="6"/>
    <s v="TN"/>
    <n v="99999"/>
    <x v="0"/>
    <s v="Credit Card"/>
    <x v="8"/>
    <x v="4"/>
    <n v="9.65"/>
    <n v="33"/>
    <x v="153"/>
    <n v="30.252749999999999"/>
  </r>
  <r>
    <n v="1190"/>
    <x v="74"/>
    <n v="28"/>
    <x v="7"/>
    <s v="789 28th Street"/>
    <s v="Memphis"/>
    <x v="6"/>
    <n v="99999"/>
    <s v="USA"/>
    <x v="5"/>
    <x v="3"/>
    <d v="2014-07-30T00:00:00"/>
    <s v="Shipping Company C"/>
    <s v="Amritansh Raghav"/>
    <s v="789 28th Street"/>
    <x v="6"/>
    <s v="TN"/>
    <n v="99999"/>
    <x v="0"/>
    <s v="Credit Card"/>
    <x v="13"/>
    <x v="8"/>
    <n v="18.399999999999999"/>
    <n v="47"/>
    <x v="154"/>
    <n v="90.804000000000002"/>
  </r>
  <r>
    <n v="1191"/>
    <x v="75"/>
    <n v="9"/>
    <x v="12"/>
    <s v="123 9th Street"/>
    <s v="Salt Lake City"/>
    <x v="11"/>
    <n v="99999"/>
    <s v="USA"/>
    <x v="7"/>
    <x v="0"/>
    <d v="2014-07-11T00:00:00"/>
    <s v="Shipping Company A"/>
    <s v="Sven Mortensen"/>
    <s v="123 9th Street"/>
    <x v="11"/>
    <s v="UT"/>
    <n v="99999"/>
    <x v="0"/>
    <s v="Check"/>
    <x v="14"/>
    <x v="9"/>
    <n v="19.5"/>
    <n v="61"/>
    <x v="155"/>
    <n v="123.70800000000001"/>
  </r>
  <r>
    <n v="1192"/>
    <x v="75"/>
    <n v="9"/>
    <x v="12"/>
    <s v="123 9th Street"/>
    <s v="Salt Lake City"/>
    <x v="11"/>
    <n v="99999"/>
    <s v="USA"/>
    <x v="7"/>
    <x v="0"/>
    <d v="2014-07-11T00:00:00"/>
    <s v="Shipping Company A"/>
    <s v="Sven Mortensen"/>
    <s v="123 9th Street"/>
    <x v="11"/>
    <s v="UT"/>
    <n v="99999"/>
    <x v="0"/>
    <s v="Check"/>
    <x v="15"/>
    <x v="10"/>
    <n v="34.799999999999997"/>
    <n v="27"/>
    <x v="156"/>
    <n v="95.839199999999991"/>
  </r>
  <r>
    <n v="1193"/>
    <x v="76"/>
    <n v="6"/>
    <x v="6"/>
    <s v="123 6th Street"/>
    <s v="Milwaukee"/>
    <x v="5"/>
    <n v="99999"/>
    <s v="USA"/>
    <x v="4"/>
    <x v="2"/>
    <d v="2014-07-08T00:00:00"/>
    <s v="Shipping Company B"/>
    <s v="Francisco Pérez-Olaeta"/>
    <s v="123 6th Street"/>
    <x v="5"/>
    <s v="WI"/>
    <n v="99999"/>
    <x v="0"/>
    <s v="Credit Card"/>
    <x v="0"/>
    <x v="0"/>
    <n v="14"/>
    <n v="84"/>
    <x v="102"/>
    <n v="118.77600000000001"/>
  </r>
  <r>
    <n v="1194"/>
    <x v="77"/>
    <n v="8"/>
    <x v="3"/>
    <s v="123 8th Street"/>
    <s v="Portland"/>
    <x v="2"/>
    <n v="99999"/>
    <s v="USA"/>
    <x v="2"/>
    <x v="2"/>
    <d v="2014-07-10T00:00:00"/>
    <s v="Shipping Company B"/>
    <s v="Elizabeth Andersen"/>
    <s v="123 8th Street"/>
    <x v="2"/>
    <s v="OR"/>
    <n v="99999"/>
    <x v="0"/>
    <s v="Check"/>
    <x v="9"/>
    <x v="5"/>
    <n v="40"/>
    <n v="91"/>
    <x v="157"/>
    <n v="360.36"/>
  </r>
  <r>
    <n v="1195"/>
    <x v="77"/>
    <n v="8"/>
    <x v="3"/>
    <s v="123 8th Street"/>
    <s v="Portland"/>
    <x v="2"/>
    <n v="99999"/>
    <s v="USA"/>
    <x v="2"/>
    <x v="2"/>
    <d v="2014-07-10T00:00:00"/>
    <s v="Shipping Company B"/>
    <s v="Elizabeth Andersen"/>
    <s v="123 8th Street"/>
    <x v="2"/>
    <s v="OR"/>
    <n v="99999"/>
    <x v="0"/>
    <s v="Check"/>
    <x v="6"/>
    <x v="2"/>
    <n v="9.1999999999999993"/>
    <n v="36"/>
    <x v="158"/>
    <n v="34.444800000000001"/>
  </r>
  <r>
    <n v="1196"/>
    <x v="78"/>
    <n v="25"/>
    <x v="13"/>
    <s v="789 25th Street"/>
    <s v="Chicago"/>
    <x v="7"/>
    <n v="99999"/>
    <s v="USA"/>
    <x v="6"/>
    <x v="1"/>
    <n v="41847"/>
    <s v="Shipping Company A"/>
    <s v="John Rodman"/>
    <s v="789 25th Street"/>
    <x v="7"/>
    <s v="IL"/>
    <n v="99999"/>
    <x v="0"/>
    <s v="Cash"/>
    <x v="21"/>
    <x v="2"/>
    <n v="10"/>
    <n v="34"/>
    <x v="159"/>
    <n v="34.340000000000003"/>
  </r>
  <r>
    <n v="1197"/>
    <x v="79"/>
    <n v="26"/>
    <x v="14"/>
    <s v="789 26th Street"/>
    <s v="Miami"/>
    <x v="9"/>
    <n v="99999"/>
    <s v="USA"/>
    <x v="5"/>
    <x v="3"/>
    <n v="41848"/>
    <s v="Shipping Company C"/>
    <s v="Run Liu"/>
    <s v="789 26th Street"/>
    <x v="9"/>
    <s v="FL"/>
    <n v="99999"/>
    <x v="0"/>
    <s v="Credit Card"/>
    <x v="22"/>
    <x v="13"/>
    <n v="21.35"/>
    <n v="81"/>
    <x v="160"/>
    <n v="178.12305000000003"/>
  </r>
  <r>
    <n v="1198"/>
    <x v="79"/>
    <n v="26"/>
    <x v="14"/>
    <s v="789 26th Street"/>
    <s v="Miami"/>
    <x v="9"/>
    <n v="99999"/>
    <s v="USA"/>
    <x v="5"/>
    <x v="3"/>
    <n v="41848"/>
    <s v="Shipping Company C"/>
    <s v="Run Liu"/>
    <s v="789 26th Street"/>
    <x v="9"/>
    <s v="FL"/>
    <n v="99999"/>
    <x v="0"/>
    <s v="Credit Card"/>
    <x v="8"/>
    <x v="4"/>
    <n v="9.65"/>
    <n v="25"/>
    <x v="161"/>
    <n v="23.401250000000001"/>
  </r>
  <r>
    <n v="1199"/>
    <x v="79"/>
    <n v="26"/>
    <x v="14"/>
    <s v="789 26th Street"/>
    <s v="Miami"/>
    <x v="9"/>
    <n v="99999"/>
    <s v="USA"/>
    <x v="5"/>
    <x v="3"/>
    <n v="41848"/>
    <s v="Shipping Company C"/>
    <s v="Run Liu"/>
    <s v="789 26th Street"/>
    <x v="9"/>
    <s v="FL"/>
    <n v="99999"/>
    <x v="0"/>
    <s v="Credit Card"/>
    <x v="13"/>
    <x v="8"/>
    <n v="18.399999999999999"/>
    <n v="12"/>
    <x v="162"/>
    <n v="22.08"/>
  </r>
  <r>
    <n v="1200"/>
    <x v="80"/>
    <n v="29"/>
    <x v="4"/>
    <s v="789 29th Street"/>
    <s v="Denver"/>
    <x v="3"/>
    <n v="99999"/>
    <s v="USA"/>
    <x v="3"/>
    <x v="0"/>
    <d v="2014-07-31T00:00:00"/>
    <s v="Shipping Company B"/>
    <s v="Soo Jung Lee"/>
    <s v="789 29th Street"/>
    <x v="3"/>
    <s v="CO"/>
    <n v="99999"/>
    <x v="0"/>
    <s v="Check"/>
    <x v="0"/>
    <x v="0"/>
    <n v="14"/>
    <n v="23"/>
    <x v="163"/>
    <n v="30.912000000000003"/>
  </r>
  <r>
    <n v="1201"/>
    <x v="76"/>
    <n v="6"/>
    <x v="6"/>
    <s v="123 6th Street"/>
    <s v="Milwaukee"/>
    <x v="5"/>
    <n v="99999"/>
    <s v="USA"/>
    <x v="4"/>
    <x v="2"/>
    <d v="2014-07-08T00:00:00"/>
    <s v="Shipping Company C"/>
    <s v="Francisco Pérez-Olaeta"/>
    <s v="123 6th Street"/>
    <x v="5"/>
    <s v="WI"/>
    <n v="99999"/>
    <x v="0"/>
    <s v="Check"/>
    <x v="7"/>
    <x v="3"/>
    <n v="12.75"/>
    <n v="76"/>
    <x v="164"/>
    <n v="97.869"/>
  </r>
  <r>
    <n v="1203"/>
    <x v="81"/>
    <n v="4"/>
    <x v="1"/>
    <s v="123 4th Street"/>
    <s v="New York"/>
    <x v="1"/>
    <n v="99999"/>
    <s v="USA"/>
    <x v="1"/>
    <x v="1"/>
    <d v="2014-07-06T00:00:00"/>
    <s v="Shipping Company A"/>
    <s v="Christina Lee"/>
    <s v="123 4th Street"/>
    <x v="1"/>
    <s v="NY"/>
    <n v="99999"/>
    <x v="0"/>
    <s v="Credit Card"/>
    <x v="23"/>
    <x v="6"/>
    <n v="81"/>
    <n v="55"/>
    <x v="165"/>
    <n v="445.5"/>
  </r>
  <r>
    <n v="1204"/>
    <x v="81"/>
    <n v="4"/>
    <x v="1"/>
    <s v="123 4th Street"/>
    <s v="New York"/>
    <x v="1"/>
    <n v="99999"/>
    <s v="USA"/>
    <x v="1"/>
    <x v="1"/>
    <d v="2014-07-06T00:00:00"/>
    <s v="Shipping Company A"/>
    <s v="Christina Lee"/>
    <s v="123 4th Street"/>
    <x v="1"/>
    <s v="NY"/>
    <n v="99999"/>
    <x v="0"/>
    <s v="Credit Card"/>
    <x v="24"/>
    <x v="14"/>
    <n v="7"/>
    <n v="19"/>
    <x v="166"/>
    <n v="12.901"/>
  </r>
  <r>
    <n v="1206"/>
    <x v="77"/>
    <n v="8"/>
    <x v="3"/>
    <s v="123 8th Street"/>
    <s v="Portland"/>
    <x v="2"/>
    <n v="99999"/>
    <s v="USA"/>
    <x v="2"/>
    <x v="2"/>
    <d v="2014-07-10T00:00:00"/>
    <s v="Shipping Company C"/>
    <s v="Elizabeth Andersen"/>
    <s v="123 8th Street"/>
    <x v="2"/>
    <s v="OR"/>
    <n v="99999"/>
    <x v="0"/>
    <s v="Credit Card"/>
    <x v="15"/>
    <x v="10"/>
    <n v="34.799999999999997"/>
    <n v="27"/>
    <x v="156"/>
    <n v="89.261999999999986"/>
  </r>
  <r>
    <n v="1209"/>
    <x v="82"/>
    <n v="3"/>
    <x v="5"/>
    <s v="123 3rd Street"/>
    <s v="Los Angelas"/>
    <x v="4"/>
    <n v="99999"/>
    <s v="USA"/>
    <x v="0"/>
    <x v="0"/>
    <d v="2014-07-05T00:00:00"/>
    <s v="Shipping Company B"/>
    <s v="Thomas Axerr"/>
    <s v="123 3rd Street"/>
    <x v="4"/>
    <s v="CA"/>
    <n v="99999"/>
    <x v="0"/>
    <s v="Cash"/>
    <x v="16"/>
    <x v="7"/>
    <n v="10"/>
    <n v="99"/>
    <x v="82"/>
    <n v="95.039999999999992"/>
  </r>
  <r>
    <n v="1210"/>
    <x v="82"/>
    <n v="3"/>
    <x v="5"/>
    <s v="123 3rd Street"/>
    <s v="Los Angelas"/>
    <x v="4"/>
    <n v="99999"/>
    <s v="USA"/>
    <x v="0"/>
    <x v="0"/>
    <d v="2014-07-05T00:00:00"/>
    <s v="Shipping Company B"/>
    <s v="Thomas Axerr"/>
    <s v="123 3rd Street"/>
    <x v="4"/>
    <s v="CA"/>
    <n v="99999"/>
    <x v="0"/>
    <s v="Cash"/>
    <x v="9"/>
    <x v="5"/>
    <n v="40"/>
    <n v="10"/>
    <x v="167"/>
    <n v="40"/>
  </r>
  <r>
    <n v="1214"/>
    <x v="83"/>
    <n v="10"/>
    <x v="8"/>
    <s v="123 10th Street"/>
    <s v="Chicago"/>
    <x v="7"/>
    <n v="99999"/>
    <s v="USA"/>
    <x v="6"/>
    <x v="1"/>
    <d v="2014-07-12T00:00:00"/>
    <s v="Shipping Company B"/>
    <s v="Roland Wacker"/>
    <s v="123 10th Street"/>
    <x v="7"/>
    <s v="IL"/>
    <n v="99999"/>
    <x v="0"/>
    <s v="Credit Card"/>
    <x v="18"/>
    <x v="1"/>
    <n v="10"/>
    <n v="80"/>
    <x v="168"/>
    <n v="77.599999999999994"/>
  </r>
  <r>
    <n v="1216"/>
    <x v="83"/>
    <n v="10"/>
    <x v="8"/>
    <s v="123 10th Street"/>
    <s v="Chicago"/>
    <x v="7"/>
    <n v="99999"/>
    <s v="USA"/>
    <x v="6"/>
    <x v="1"/>
    <m/>
    <s v="Shipping Company A"/>
    <s v="Roland Wacker"/>
    <s v="123 10th Street"/>
    <x v="7"/>
    <s v="IL"/>
    <n v="99999"/>
    <x v="0"/>
    <m/>
    <x v="1"/>
    <x v="1"/>
    <n v="3.5"/>
    <n v="27"/>
    <x v="169"/>
    <n v="9.072000000000001"/>
  </r>
  <r>
    <n v="1217"/>
    <x v="84"/>
    <n v="11"/>
    <x v="10"/>
    <s v="123 11th Street"/>
    <s v="Miami"/>
    <x v="9"/>
    <n v="99999"/>
    <s v="USA"/>
    <x v="5"/>
    <x v="3"/>
    <m/>
    <s v="Shipping Company C"/>
    <s v="Peter Krschne"/>
    <s v="123 11th Street"/>
    <x v="9"/>
    <s v="FL"/>
    <n v="99999"/>
    <x v="0"/>
    <m/>
    <x v="9"/>
    <x v="5"/>
    <n v="40"/>
    <n v="97"/>
    <x v="170"/>
    <n v="380.24"/>
  </r>
  <r>
    <n v="1218"/>
    <x v="73"/>
    <n v="1"/>
    <x v="11"/>
    <s v="123 1st Street"/>
    <s v="Seattle"/>
    <x v="10"/>
    <n v="99999"/>
    <s v="USA"/>
    <x v="2"/>
    <x v="2"/>
    <m/>
    <s v="Shipping Company C"/>
    <s v="Anna Bedecs"/>
    <s v="123 1st Street"/>
    <x v="10"/>
    <s v="WA"/>
    <n v="99999"/>
    <x v="0"/>
    <m/>
    <x v="13"/>
    <x v="8"/>
    <n v="18.399999999999999"/>
    <n v="42"/>
    <x v="171"/>
    <n v="80.371200000000002"/>
  </r>
  <r>
    <n v="1219"/>
    <x v="74"/>
    <n v="28"/>
    <x v="7"/>
    <s v="789 28th Street"/>
    <s v="Memphis"/>
    <x v="6"/>
    <n v="99999"/>
    <s v="USA"/>
    <x v="5"/>
    <x v="3"/>
    <n v="41850"/>
    <s v="Shipping Company C"/>
    <s v="Amritansh Raghav"/>
    <s v="789 28th Street"/>
    <x v="6"/>
    <s v="TN"/>
    <n v="99999"/>
    <x v="0"/>
    <s v="Credit Card"/>
    <x v="5"/>
    <x v="0"/>
    <n v="46"/>
    <n v="24"/>
    <x v="15"/>
    <n v="105.98399999999999"/>
  </r>
  <r>
    <n v="1220"/>
    <x v="75"/>
    <n v="9"/>
    <x v="12"/>
    <s v="123 9th Street"/>
    <s v="Salt Lake City"/>
    <x v="11"/>
    <n v="99999"/>
    <s v="USA"/>
    <x v="7"/>
    <x v="0"/>
    <d v="2014-07-11T00:00:00"/>
    <s v="Shipping Company A"/>
    <s v="Sven Mortensen"/>
    <s v="123 9th Street"/>
    <x v="11"/>
    <s v="UT"/>
    <n v="99999"/>
    <x v="0"/>
    <s v="Check"/>
    <x v="8"/>
    <x v="4"/>
    <n v="9.65"/>
    <n v="90"/>
    <x v="172"/>
    <n v="83.376000000000005"/>
  </r>
  <r>
    <n v="1221"/>
    <x v="76"/>
    <n v="6"/>
    <x v="6"/>
    <s v="123 6th Street"/>
    <s v="Milwaukee"/>
    <x v="5"/>
    <n v="99999"/>
    <s v="USA"/>
    <x v="4"/>
    <x v="2"/>
    <d v="2014-07-08T00:00:00"/>
    <s v="Shipping Company B"/>
    <s v="Francisco Pérez-Olaeta"/>
    <s v="123 6th Street"/>
    <x v="5"/>
    <s v="WI"/>
    <n v="99999"/>
    <x v="0"/>
    <s v="Credit Card"/>
    <x v="7"/>
    <x v="3"/>
    <n v="12.75"/>
    <n v="28"/>
    <x v="173"/>
    <n v="35.700000000000003"/>
  </r>
  <r>
    <n v="1222"/>
    <x v="85"/>
    <n v="28"/>
    <x v="7"/>
    <s v="789 28th Street"/>
    <s v="Memphis"/>
    <x v="6"/>
    <n v="99999"/>
    <s v="USA"/>
    <x v="5"/>
    <x v="3"/>
    <d v="2014-08-30T00:00:00"/>
    <s v="Shipping Company C"/>
    <s v="Amritansh Raghav"/>
    <s v="789 28th Street"/>
    <x v="6"/>
    <s v="TN"/>
    <n v="99999"/>
    <x v="0"/>
    <s v="Check"/>
    <x v="5"/>
    <x v="0"/>
    <n v="46"/>
    <n v="28"/>
    <x v="174"/>
    <n v="133.95200000000003"/>
  </r>
  <r>
    <n v="1223"/>
    <x v="86"/>
    <n v="8"/>
    <x v="3"/>
    <s v="123 8th Street"/>
    <s v="Portland"/>
    <x v="2"/>
    <n v="99999"/>
    <s v="USA"/>
    <x v="2"/>
    <x v="2"/>
    <d v="2014-08-10T00:00:00"/>
    <s v="Shipping Company C"/>
    <s v="Elizabeth Andersen"/>
    <s v="123 8th Street"/>
    <x v="2"/>
    <s v="OR"/>
    <n v="99999"/>
    <x v="0"/>
    <s v="Check"/>
    <x v="7"/>
    <x v="3"/>
    <n v="12.75"/>
    <n v="57"/>
    <x v="175"/>
    <n v="69.768000000000001"/>
  </r>
  <r>
    <n v="1224"/>
    <x v="87"/>
    <n v="10"/>
    <x v="8"/>
    <s v="123 10th Street"/>
    <s v="Chicago"/>
    <x v="7"/>
    <n v="99999"/>
    <s v="USA"/>
    <x v="6"/>
    <x v="1"/>
    <d v="2014-08-12T00:00:00"/>
    <s v="Shipping Company B"/>
    <s v="Roland Wacker"/>
    <s v="123 10th Street"/>
    <x v="7"/>
    <s v="IL"/>
    <n v="99999"/>
    <x v="0"/>
    <s v="Credit Card"/>
    <x v="10"/>
    <x v="0"/>
    <n v="2.99"/>
    <n v="23"/>
    <x v="176"/>
    <n v="6.6706900000000013"/>
  </r>
  <r>
    <n v="1225"/>
    <x v="88"/>
    <n v="7"/>
    <x v="9"/>
    <s v="123 7th Street"/>
    <s v="Boise"/>
    <x v="8"/>
    <n v="99999"/>
    <s v="USA"/>
    <x v="2"/>
    <x v="2"/>
    <m/>
    <m/>
    <s v="Ming-Yang Xie"/>
    <s v="123 7th Street"/>
    <x v="8"/>
    <s v="ID"/>
    <n v="99999"/>
    <x v="0"/>
    <m/>
    <x v="5"/>
    <x v="0"/>
    <n v="46"/>
    <n v="86"/>
    <x v="177"/>
    <n v="399.55600000000004"/>
  </r>
  <r>
    <n v="1226"/>
    <x v="87"/>
    <n v="10"/>
    <x v="8"/>
    <s v="123 10th Street"/>
    <s v="Chicago"/>
    <x v="7"/>
    <n v="99999"/>
    <s v="USA"/>
    <x v="6"/>
    <x v="1"/>
    <d v="2014-08-12T00:00:00"/>
    <s v="Shipping Company A"/>
    <s v="Roland Wacker"/>
    <s v="123 10th Street"/>
    <x v="7"/>
    <s v="IL"/>
    <n v="99999"/>
    <x v="0"/>
    <m/>
    <x v="11"/>
    <x v="6"/>
    <n v="25"/>
    <n v="47"/>
    <x v="178"/>
    <n v="116.325"/>
  </r>
  <r>
    <n v="1227"/>
    <x v="87"/>
    <n v="10"/>
    <x v="8"/>
    <s v="123 10th Street"/>
    <s v="Chicago"/>
    <x v="7"/>
    <n v="99999"/>
    <s v="USA"/>
    <x v="6"/>
    <x v="1"/>
    <d v="2014-08-12T00:00:00"/>
    <s v="Shipping Company A"/>
    <s v="Roland Wacker"/>
    <s v="123 10th Street"/>
    <x v="7"/>
    <s v="IL"/>
    <n v="99999"/>
    <x v="0"/>
    <m/>
    <x v="12"/>
    <x v="7"/>
    <n v="22"/>
    <n v="97"/>
    <x v="179"/>
    <n v="221.93600000000001"/>
  </r>
  <r>
    <n v="1228"/>
    <x v="87"/>
    <n v="10"/>
    <x v="8"/>
    <s v="123 10th Street"/>
    <s v="Chicago"/>
    <x v="7"/>
    <n v="99999"/>
    <s v="USA"/>
    <x v="6"/>
    <x v="1"/>
    <d v="2014-08-12T00:00:00"/>
    <s v="Shipping Company A"/>
    <s v="Roland Wacker"/>
    <s v="123 10th Street"/>
    <x v="7"/>
    <s v="IL"/>
    <n v="99999"/>
    <x v="0"/>
    <m/>
    <x v="6"/>
    <x v="2"/>
    <n v="9.1999999999999993"/>
    <n v="96"/>
    <x v="180"/>
    <n v="86.553599999999989"/>
  </r>
  <r>
    <n v="1229"/>
    <x v="89"/>
    <n v="11"/>
    <x v="10"/>
    <s v="123 11th Street"/>
    <s v="Miami"/>
    <x v="9"/>
    <n v="99999"/>
    <s v="USA"/>
    <x v="5"/>
    <x v="3"/>
    <m/>
    <s v="Shipping Company C"/>
    <s v="Peter Krschne"/>
    <s v="123 11th Street"/>
    <x v="9"/>
    <s v="FL"/>
    <n v="99999"/>
    <x v="0"/>
    <m/>
    <x v="1"/>
    <x v="1"/>
    <n v="3.5"/>
    <n v="31"/>
    <x v="181"/>
    <n v="10.850000000000001"/>
  </r>
  <r>
    <n v="1230"/>
    <x v="89"/>
    <n v="11"/>
    <x v="10"/>
    <s v="123 11th Street"/>
    <s v="Miami"/>
    <x v="9"/>
    <n v="99999"/>
    <s v="USA"/>
    <x v="5"/>
    <x v="3"/>
    <m/>
    <s v="Shipping Company C"/>
    <s v="Peter Krschne"/>
    <s v="123 11th Street"/>
    <x v="9"/>
    <s v="FL"/>
    <n v="99999"/>
    <x v="0"/>
    <m/>
    <x v="10"/>
    <x v="0"/>
    <n v="2.99"/>
    <n v="52"/>
    <x v="182"/>
    <n v="16.014440000000004"/>
  </r>
  <r>
    <n v="1231"/>
    <x v="90"/>
    <n v="1"/>
    <x v="11"/>
    <s v="123 1st Street"/>
    <s v="Seattle"/>
    <x v="10"/>
    <n v="99999"/>
    <s v="USA"/>
    <x v="2"/>
    <x v="2"/>
    <m/>
    <m/>
    <s v="Anna Bedecs"/>
    <s v="123 1st Street"/>
    <x v="10"/>
    <s v="WA"/>
    <n v="99999"/>
    <x v="0"/>
    <m/>
    <x v="4"/>
    <x v="0"/>
    <n v="18"/>
    <n v="91"/>
    <x v="183"/>
    <n v="158.886"/>
  </r>
  <r>
    <n v="1232"/>
    <x v="90"/>
    <n v="1"/>
    <x v="11"/>
    <s v="123 1st Street"/>
    <s v="Seattle"/>
    <x v="10"/>
    <n v="99999"/>
    <s v="USA"/>
    <x v="2"/>
    <x v="2"/>
    <m/>
    <m/>
    <s v="Anna Bedecs"/>
    <s v="123 1st Street"/>
    <x v="10"/>
    <s v="WA"/>
    <n v="99999"/>
    <x v="0"/>
    <m/>
    <x v="5"/>
    <x v="0"/>
    <n v="46"/>
    <n v="14"/>
    <x v="184"/>
    <n v="63.756000000000007"/>
  </r>
  <r>
    <n v="1233"/>
    <x v="90"/>
    <n v="1"/>
    <x v="11"/>
    <s v="123 1st Street"/>
    <s v="Seattle"/>
    <x v="10"/>
    <n v="99999"/>
    <s v="USA"/>
    <x v="2"/>
    <x v="2"/>
    <m/>
    <m/>
    <s v="Anna Bedecs"/>
    <s v="123 1st Street"/>
    <x v="10"/>
    <s v="WA"/>
    <n v="99999"/>
    <x v="0"/>
    <m/>
    <x v="10"/>
    <x v="0"/>
    <n v="2.99"/>
    <n v="44"/>
    <x v="185"/>
    <n v="13.287560000000001"/>
  </r>
  <r>
    <n v="1234"/>
    <x v="85"/>
    <n v="28"/>
    <x v="7"/>
    <s v="789 28th Street"/>
    <s v="Memphis"/>
    <x v="6"/>
    <n v="99999"/>
    <s v="USA"/>
    <x v="5"/>
    <x v="3"/>
    <d v="2014-08-30T00:00:00"/>
    <s v="Shipping Company C"/>
    <s v="Amritansh Raghav"/>
    <s v="789 28th Street"/>
    <x v="6"/>
    <s v="TN"/>
    <n v="99999"/>
    <x v="0"/>
    <s v="Credit Card"/>
    <x v="8"/>
    <x v="4"/>
    <n v="9.65"/>
    <n v="97"/>
    <x v="53"/>
    <n v="95.477100000000021"/>
  </r>
  <r>
    <n v="1235"/>
    <x v="85"/>
    <n v="28"/>
    <x v="7"/>
    <s v="789 28th Street"/>
    <s v="Memphis"/>
    <x v="6"/>
    <n v="99999"/>
    <s v="USA"/>
    <x v="5"/>
    <x v="3"/>
    <d v="2014-08-30T00:00:00"/>
    <s v="Shipping Company C"/>
    <s v="Amritansh Raghav"/>
    <s v="789 28th Street"/>
    <x v="6"/>
    <s v="TN"/>
    <n v="99999"/>
    <x v="0"/>
    <s v="Credit Card"/>
    <x v="13"/>
    <x v="8"/>
    <n v="18.399999999999999"/>
    <n v="80"/>
    <x v="36"/>
    <n v="150.14400000000003"/>
  </r>
  <r>
    <n v="1236"/>
    <x v="91"/>
    <n v="9"/>
    <x v="12"/>
    <s v="123 9th Street"/>
    <s v="Salt Lake City"/>
    <x v="11"/>
    <n v="99999"/>
    <s v="USA"/>
    <x v="7"/>
    <x v="0"/>
    <d v="2014-08-11T00:00:00"/>
    <s v="Shipping Company A"/>
    <s v="Sven Mortensen"/>
    <s v="123 9th Street"/>
    <x v="11"/>
    <s v="UT"/>
    <n v="99999"/>
    <x v="0"/>
    <s v="Check"/>
    <x v="14"/>
    <x v="9"/>
    <n v="19.5"/>
    <n v="66"/>
    <x v="186"/>
    <n v="132.56100000000001"/>
  </r>
  <r>
    <n v="1237"/>
    <x v="91"/>
    <n v="9"/>
    <x v="12"/>
    <s v="123 9th Street"/>
    <s v="Salt Lake City"/>
    <x v="11"/>
    <n v="99999"/>
    <s v="USA"/>
    <x v="7"/>
    <x v="0"/>
    <d v="2014-08-11T00:00:00"/>
    <s v="Shipping Company A"/>
    <s v="Sven Mortensen"/>
    <s v="123 9th Street"/>
    <x v="11"/>
    <s v="UT"/>
    <n v="99999"/>
    <x v="0"/>
    <s v="Check"/>
    <x v="15"/>
    <x v="10"/>
    <n v="34.799999999999997"/>
    <n v="32"/>
    <x v="187"/>
    <n v="111.36"/>
  </r>
  <r>
    <n v="1238"/>
    <x v="92"/>
    <n v="6"/>
    <x v="6"/>
    <s v="123 6th Street"/>
    <s v="Milwaukee"/>
    <x v="5"/>
    <n v="99999"/>
    <s v="USA"/>
    <x v="4"/>
    <x v="2"/>
    <d v="2014-08-08T00:00:00"/>
    <s v="Shipping Company B"/>
    <s v="Francisco Pérez-Olaeta"/>
    <s v="123 6th Street"/>
    <x v="5"/>
    <s v="WI"/>
    <n v="99999"/>
    <x v="0"/>
    <s v="Credit Card"/>
    <x v="0"/>
    <x v="0"/>
    <n v="14"/>
    <n v="52"/>
    <x v="188"/>
    <n v="72.8"/>
  </r>
  <r>
    <n v="1239"/>
    <x v="86"/>
    <n v="8"/>
    <x v="3"/>
    <s v="123 8th Street"/>
    <s v="Portland"/>
    <x v="2"/>
    <n v="99999"/>
    <s v="USA"/>
    <x v="2"/>
    <x v="2"/>
    <d v="2014-08-10T00:00:00"/>
    <s v="Shipping Company B"/>
    <s v="Elizabeth Andersen"/>
    <s v="123 8th Street"/>
    <x v="2"/>
    <s v="OR"/>
    <n v="99999"/>
    <x v="0"/>
    <s v="Check"/>
    <x v="9"/>
    <x v="5"/>
    <n v="40"/>
    <n v="78"/>
    <x v="189"/>
    <n v="318.24"/>
  </r>
  <r>
    <n v="1240"/>
    <x v="86"/>
    <n v="8"/>
    <x v="3"/>
    <s v="123 8th Street"/>
    <s v="Portland"/>
    <x v="2"/>
    <n v="99999"/>
    <s v="USA"/>
    <x v="2"/>
    <x v="2"/>
    <d v="2014-08-10T00:00:00"/>
    <s v="Shipping Company B"/>
    <s v="Elizabeth Andersen"/>
    <s v="123 8th Street"/>
    <x v="2"/>
    <s v="OR"/>
    <n v="99999"/>
    <x v="0"/>
    <s v="Check"/>
    <x v="6"/>
    <x v="2"/>
    <n v="9.1999999999999993"/>
    <n v="54"/>
    <x v="190"/>
    <n v="49.183199999999999"/>
  </r>
  <r>
    <n v="1241"/>
    <x v="93"/>
    <n v="25"/>
    <x v="13"/>
    <s v="789 25th Street"/>
    <s v="Chicago"/>
    <x v="7"/>
    <n v="99999"/>
    <s v="USA"/>
    <x v="6"/>
    <x v="1"/>
    <d v="2014-08-27T00:00:00"/>
    <s v="Shipping Company A"/>
    <s v="John Rodman"/>
    <s v="789 25th Street"/>
    <x v="7"/>
    <s v="IL"/>
    <n v="99999"/>
    <x v="0"/>
    <s v="Cash"/>
    <x v="21"/>
    <x v="2"/>
    <n v="10"/>
    <n v="55"/>
    <x v="62"/>
    <n v="52.25"/>
  </r>
  <r>
    <n v="1242"/>
    <x v="94"/>
    <n v="26"/>
    <x v="14"/>
    <s v="789 26th Street"/>
    <s v="Miami"/>
    <x v="9"/>
    <n v="99999"/>
    <s v="USA"/>
    <x v="5"/>
    <x v="3"/>
    <d v="2014-08-28T00:00:00"/>
    <s v="Shipping Company C"/>
    <s v="Run Liu"/>
    <s v="789 26th Street"/>
    <x v="9"/>
    <s v="FL"/>
    <n v="99999"/>
    <x v="0"/>
    <s v="Credit Card"/>
    <x v="22"/>
    <x v="13"/>
    <n v="21.35"/>
    <n v="60"/>
    <x v="191"/>
    <n v="129.381"/>
  </r>
  <r>
    <n v="1243"/>
    <x v="94"/>
    <n v="26"/>
    <x v="14"/>
    <s v="789 26th Street"/>
    <s v="Miami"/>
    <x v="9"/>
    <n v="99999"/>
    <s v="USA"/>
    <x v="5"/>
    <x v="3"/>
    <d v="2014-08-28T00:00:00"/>
    <s v="Shipping Company C"/>
    <s v="Run Liu"/>
    <s v="789 26th Street"/>
    <x v="9"/>
    <s v="FL"/>
    <n v="99999"/>
    <x v="0"/>
    <s v="Credit Card"/>
    <x v="8"/>
    <x v="4"/>
    <n v="9.65"/>
    <n v="19"/>
    <x v="192"/>
    <n v="17.41825"/>
  </r>
  <r>
    <n v="1244"/>
    <x v="94"/>
    <n v="26"/>
    <x v="14"/>
    <s v="789 26th Street"/>
    <s v="Miami"/>
    <x v="9"/>
    <n v="99999"/>
    <s v="USA"/>
    <x v="5"/>
    <x v="3"/>
    <d v="2014-08-28T00:00:00"/>
    <s v="Shipping Company C"/>
    <s v="Run Liu"/>
    <s v="789 26th Street"/>
    <x v="9"/>
    <s v="FL"/>
    <n v="99999"/>
    <x v="0"/>
    <s v="Credit Card"/>
    <x v="13"/>
    <x v="8"/>
    <n v="18.399999999999999"/>
    <n v="66"/>
    <x v="193"/>
    <n v="125.08320000000001"/>
  </r>
  <r>
    <n v="1245"/>
    <x v="95"/>
    <n v="29"/>
    <x v="4"/>
    <s v="789 29th Street"/>
    <s v="Denver"/>
    <x v="3"/>
    <n v="99999"/>
    <s v="USA"/>
    <x v="3"/>
    <x v="0"/>
    <d v="2014-08-31T00:00:00"/>
    <s v="Shipping Company B"/>
    <s v="Soo Jung Lee"/>
    <s v="789 29th Street"/>
    <x v="3"/>
    <s v="CO"/>
    <n v="99999"/>
    <x v="0"/>
    <s v="Check"/>
    <x v="0"/>
    <x v="0"/>
    <n v="14"/>
    <n v="42"/>
    <x v="194"/>
    <n v="59.388000000000005"/>
  </r>
  <r>
    <n v="1246"/>
    <x v="92"/>
    <n v="6"/>
    <x v="6"/>
    <s v="123 6th Street"/>
    <s v="Milwaukee"/>
    <x v="5"/>
    <n v="99999"/>
    <s v="USA"/>
    <x v="4"/>
    <x v="2"/>
    <n v="41859"/>
    <s v="Shipping Company C"/>
    <s v="Francisco Pérez-Olaeta"/>
    <s v="123 6th Street"/>
    <x v="5"/>
    <s v="WI"/>
    <n v="99999"/>
    <x v="0"/>
    <s v="Check"/>
    <x v="7"/>
    <x v="3"/>
    <n v="12.75"/>
    <n v="72"/>
    <x v="195"/>
    <n v="89.046000000000006"/>
  </r>
  <r>
    <n v="1248"/>
    <x v="96"/>
    <n v="4"/>
    <x v="1"/>
    <s v="123 4th Street"/>
    <s v="New York"/>
    <x v="1"/>
    <n v="99999"/>
    <s v="USA"/>
    <x v="1"/>
    <x v="1"/>
    <n v="41857"/>
    <s v="Shipping Company A"/>
    <s v="Christina Lee"/>
    <s v="123 4th Street"/>
    <x v="1"/>
    <s v="NY"/>
    <n v="99999"/>
    <x v="0"/>
    <s v="Credit Card"/>
    <x v="23"/>
    <x v="6"/>
    <n v="81"/>
    <n v="32"/>
    <x v="196"/>
    <n v="251.42399999999998"/>
  </r>
  <r>
    <n v="1249"/>
    <x v="96"/>
    <n v="4"/>
    <x v="1"/>
    <s v="123 4th Street"/>
    <s v="New York"/>
    <x v="1"/>
    <n v="99999"/>
    <s v="USA"/>
    <x v="1"/>
    <x v="1"/>
    <n v="41857"/>
    <s v="Shipping Company A"/>
    <s v="Christina Lee"/>
    <s v="123 4th Street"/>
    <x v="1"/>
    <s v="NY"/>
    <n v="99999"/>
    <x v="0"/>
    <s v="Credit Card"/>
    <x v="24"/>
    <x v="14"/>
    <n v="7"/>
    <n v="76"/>
    <x v="197"/>
    <n v="53.732000000000006"/>
  </r>
  <r>
    <n v="1250"/>
    <x v="97"/>
    <n v="10"/>
    <x v="8"/>
    <s v="123 10th Street"/>
    <s v="Chicago"/>
    <x v="7"/>
    <n v="99999"/>
    <s v="USA"/>
    <x v="6"/>
    <x v="1"/>
    <n v="41894"/>
    <s v="Shipping Company A"/>
    <s v="Roland Wacker"/>
    <s v="123 10th Street"/>
    <x v="7"/>
    <s v="IL"/>
    <n v="99999"/>
    <x v="0"/>
    <m/>
    <x v="6"/>
    <x v="2"/>
    <n v="9.1999999999999993"/>
    <n v="83"/>
    <x v="198"/>
    <n v="74.832799999999992"/>
  </r>
  <r>
    <n v="1251"/>
    <x v="98"/>
    <n v="11"/>
    <x v="10"/>
    <s v="123 11th Street"/>
    <s v="Miami"/>
    <x v="9"/>
    <n v="99999"/>
    <s v="USA"/>
    <x v="5"/>
    <x v="3"/>
    <m/>
    <s v="Shipping Company C"/>
    <s v="Peter Krschne"/>
    <s v="123 11th Street"/>
    <x v="9"/>
    <s v="FL"/>
    <n v="99999"/>
    <x v="0"/>
    <m/>
    <x v="1"/>
    <x v="1"/>
    <n v="3.5"/>
    <n v="91"/>
    <x v="199"/>
    <n v="31.213000000000001"/>
  </r>
  <r>
    <n v="1252"/>
    <x v="98"/>
    <n v="11"/>
    <x v="10"/>
    <s v="123 11th Street"/>
    <s v="Miami"/>
    <x v="9"/>
    <n v="99999"/>
    <s v="USA"/>
    <x v="5"/>
    <x v="3"/>
    <m/>
    <s v="Shipping Company C"/>
    <s v="Peter Krschne"/>
    <s v="123 11th Street"/>
    <x v="9"/>
    <s v="FL"/>
    <n v="99999"/>
    <x v="0"/>
    <m/>
    <x v="10"/>
    <x v="0"/>
    <n v="2.99"/>
    <n v="64"/>
    <x v="200"/>
    <n v="19.518720000000002"/>
  </r>
  <r>
    <n v="1253"/>
    <x v="99"/>
    <n v="1"/>
    <x v="11"/>
    <s v="123 1st Street"/>
    <s v="Seattle"/>
    <x v="10"/>
    <n v="99999"/>
    <s v="USA"/>
    <x v="2"/>
    <x v="2"/>
    <m/>
    <m/>
    <s v="Anna Bedecs"/>
    <s v="123 1st Street"/>
    <x v="10"/>
    <s v="WA"/>
    <n v="99999"/>
    <x v="0"/>
    <m/>
    <x v="4"/>
    <x v="0"/>
    <n v="18"/>
    <n v="58"/>
    <x v="137"/>
    <n v="103.35600000000001"/>
  </r>
  <r>
    <n v="1254"/>
    <x v="99"/>
    <n v="1"/>
    <x v="11"/>
    <s v="123 1st Street"/>
    <s v="Seattle"/>
    <x v="10"/>
    <n v="99999"/>
    <s v="USA"/>
    <x v="2"/>
    <x v="2"/>
    <m/>
    <m/>
    <s v="Anna Bedecs"/>
    <s v="123 1st Street"/>
    <x v="10"/>
    <s v="WA"/>
    <n v="99999"/>
    <x v="0"/>
    <m/>
    <x v="5"/>
    <x v="0"/>
    <n v="46"/>
    <n v="97"/>
    <x v="201"/>
    <n v="464.04800000000006"/>
  </r>
  <r>
    <n v="1255"/>
    <x v="99"/>
    <n v="1"/>
    <x v="11"/>
    <s v="123 1st Street"/>
    <s v="Seattle"/>
    <x v="10"/>
    <n v="99999"/>
    <s v="USA"/>
    <x v="2"/>
    <x v="2"/>
    <m/>
    <m/>
    <s v="Anna Bedecs"/>
    <s v="123 1st Street"/>
    <x v="10"/>
    <s v="WA"/>
    <n v="99999"/>
    <x v="0"/>
    <m/>
    <x v="10"/>
    <x v="0"/>
    <n v="2.99"/>
    <n v="14"/>
    <x v="202"/>
    <n v="4.35344"/>
  </r>
  <r>
    <n v="1256"/>
    <x v="100"/>
    <n v="28"/>
    <x v="7"/>
    <s v="789 28th Street"/>
    <s v="Memphis"/>
    <x v="6"/>
    <n v="99999"/>
    <s v="USA"/>
    <x v="5"/>
    <x v="3"/>
    <d v="2014-09-30T00:00:00"/>
    <s v="Shipping Company C"/>
    <s v="Amritansh Raghav"/>
    <s v="789 28th Street"/>
    <x v="6"/>
    <s v="TN"/>
    <n v="99999"/>
    <x v="0"/>
    <s v="Credit Card"/>
    <x v="8"/>
    <x v="4"/>
    <n v="9.65"/>
    <n v="68"/>
    <x v="203"/>
    <n v="64.307600000000008"/>
  </r>
  <r>
    <n v="1257"/>
    <x v="100"/>
    <n v="28"/>
    <x v="7"/>
    <s v="789 28th Street"/>
    <s v="Memphis"/>
    <x v="6"/>
    <n v="99999"/>
    <s v="USA"/>
    <x v="5"/>
    <x v="3"/>
    <n v="41912"/>
    <s v="Shipping Company C"/>
    <s v="Amritansh Raghav"/>
    <s v="789 28th Street"/>
    <x v="6"/>
    <s v="TN"/>
    <n v="99999"/>
    <x v="0"/>
    <s v="Credit Card"/>
    <x v="13"/>
    <x v="8"/>
    <n v="18.399999999999999"/>
    <n v="32"/>
    <x v="204"/>
    <n v="58.879999999999995"/>
  </r>
  <r>
    <n v="1258"/>
    <x v="101"/>
    <n v="9"/>
    <x v="12"/>
    <s v="123 9th Street"/>
    <s v="Salt Lake City"/>
    <x v="11"/>
    <n v="99999"/>
    <s v="USA"/>
    <x v="7"/>
    <x v="0"/>
    <d v="2014-09-11T00:00:00"/>
    <s v="Shipping Company A"/>
    <s v="Sven Mortensen"/>
    <s v="123 9th Street"/>
    <x v="11"/>
    <s v="UT"/>
    <n v="99999"/>
    <x v="0"/>
    <s v="Check"/>
    <x v="14"/>
    <x v="9"/>
    <n v="19.5"/>
    <n v="48"/>
    <x v="205"/>
    <n v="94.536000000000016"/>
  </r>
  <r>
    <n v="1259"/>
    <x v="101"/>
    <n v="9"/>
    <x v="12"/>
    <s v="123 9th Street"/>
    <s v="Salt Lake City"/>
    <x v="11"/>
    <n v="99999"/>
    <s v="USA"/>
    <x v="7"/>
    <x v="0"/>
    <d v="2014-09-11T00:00:00"/>
    <s v="Shipping Company A"/>
    <s v="Sven Mortensen"/>
    <s v="123 9th Street"/>
    <x v="11"/>
    <s v="UT"/>
    <n v="99999"/>
    <x v="0"/>
    <s v="Check"/>
    <x v="15"/>
    <x v="10"/>
    <n v="34.799999999999997"/>
    <n v="57"/>
    <x v="206"/>
    <n v="194.39280000000002"/>
  </r>
  <r>
    <n v="1260"/>
    <x v="102"/>
    <n v="6"/>
    <x v="6"/>
    <s v="123 6th Street"/>
    <s v="Milwaukee"/>
    <x v="5"/>
    <n v="99999"/>
    <s v="USA"/>
    <x v="4"/>
    <x v="2"/>
    <d v="2014-09-08T00:00:00"/>
    <s v="Shipping Company B"/>
    <s v="Francisco Pérez-Olaeta"/>
    <s v="123 6th Street"/>
    <x v="5"/>
    <s v="WI"/>
    <n v="99999"/>
    <x v="0"/>
    <s v="Credit Card"/>
    <x v="0"/>
    <x v="0"/>
    <n v="14"/>
    <n v="67"/>
    <x v="207"/>
    <n v="98.490000000000009"/>
  </r>
  <r>
    <n v="1261"/>
    <x v="103"/>
    <n v="8"/>
    <x v="3"/>
    <s v="123 8th Street"/>
    <s v="Portland"/>
    <x v="2"/>
    <n v="99999"/>
    <s v="USA"/>
    <x v="2"/>
    <x v="2"/>
    <n v="41892"/>
    <s v="Shipping Company B"/>
    <s v="Elizabeth Andersen"/>
    <s v="123 8th Street"/>
    <x v="2"/>
    <s v="OR"/>
    <n v="99999"/>
    <x v="0"/>
    <s v="Check"/>
    <x v="9"/>
    <x v="5"/>
    <n v="40"/>
    <n v="48"/>
    <x v="208"/>
    <n v="188.16"/>
  </r>
  <r>
    <n v="1262"/>
    <x v="103"/>
    <n v="8"/>
    <x v="3"/>
    <s v="123 8th Street"/>
    <s v="Portland"/>
    <x v="2"/>
    <n v="99999"/>
    <s v="USA"/>
    <x v="2"/>
    <x v="2"/>
    <n v="41892"/>
    <s v="Shipping Company B"/>
    <s v="Elizabeth Andersen"/>
    <s v="123 8th Street"/>
    <x v="2"/>
    <s v="OR"/>
    <n v="99999"/>
    <x v="0"/>
    <s v="Check"/>
    <x v="6"/>
    <x v="2"/>
    <n v="9.1999999999999993"/>
    <n v="77"/>
    <x v="209"/>
    <n v="72.256799999999998"/>
  </r>
  <r>
    <n v="1263"/>
    <x v="104"/>
    <n v="25"/>
    <x v="13"/>
    <s v="789 25th Street"/>
    <s v="Chicago"/>
    <x v="7"/>
    <n v="99999"/>
    <s v="USA"/>
    <x v="6"/>
    <x v="1"/>
    <n v="41909"/>
    <s v="Shipping Company A"/>
    <s v="John Rodman"/>
    <s v="789 25th Street"/>
    <x v="7"/>
    <s v="IL"/>
    <n v="99999"/>
    <x v="0"/>
    <s v="Cash"/>
    <x v="21"/>
    <x v="2"/>
    <n v="10"/>
    <n v="94"/>
    <x v="210"/>
    <n v="97.76"/>
  </r>
  <r>
    <n v="1264"/>
    <x v="105"/>
    <n v="26"/>
    <x v="14"/>
    <s v="789 26th Street"/>
    <s v="Miami"/>
    <x v="9"/>
    <n v="99999"/>
    <s v="USA"/>
    <x v="5"/>
    <x v="3"/>
    <n v="41910"/>
    <s v="Shipping Company C"/>
    <s v="Run Liu"/>
    <s v="789 26th Street"/>
    <x v="9"/>
    <s v="FL"/>
    <n v="99999"/>
    <x v="0"/>
    <s v="Credit Card"/>
    <x v="22"/>
    <x v="13"/>
    <n v="21.35"/>
    <n v="54"/>
    <x v="211"/>
    <n v="121.05450000000003"/>
  </r>
  <r>
    <n v="1265"/>
    <x v="105"/>
    <n v="26"/>
    <x v="14"/>
    <s v="789 26th Street"/>
    <s v="Miami"/>
    <x v="9"/>
    <n v="99999"/>
    <s v="USA"/>
    <x v="5"/>
    <x v="3"/>
    <n v="41910"/>
    <s v="Shipping Company C"/>
    <s v="Run Liu"/>
    <s v="789 26th Street"/>
    <x v="9"/>
    <s v="FL"/>
    <n v="99999"/>
    <x v="0"/>
    <s v="Credit Card"/>
    <x v="8"/>
    <x v="4"/>
    <n v="9.65"/>
    <n v="43"/>
    <x v="84"/>
    <n v="40.250150000000005"/>
  </r>
  <r>
    <n v="1266"/>
    <x v="105"/>
    <n v="26"/>
    <x v="14"/>
    <s v="789 26th Street"/>
    <s v="Miami"/>
    <x v="9"/>
    <n v="99999"/>
    <s v="USA"/>
    <x v="5"/>
    <x v="3"/>
    <d v="2014-09-28T00:00:00"/>
    <s v="Shipping Company C"/>
    <s v="Run Liu"/>
    <s v="789 26th Street"/>
    <x v="9"/>
    <s v="FL"/>
    <n v="99999"/>
    <x v="0"/>
    <s v="Credit Card"/>
    <x v="13"/>
    <x v="8"/>
    <n v="18.399999999999999"/>
    <n v="71"/>
    <x v="143"/>
    <n v="134.55919999999998"/>
  </r>
  <r>
    <n v="1267"/>
    <x v="106"/>
    <n v="29"/>
    <x v="4"/>
    <s v="789 29th Street"/>
    <s v="Denver"/>
    <x v="3"/>
    <n v="99999"/>
    <s v="USA"/>
    <x v="3"/>
    <x v="0"/>
    <d v="2014-10-01T00:00:00"/>
    <s v="Shipping Company B"/>
    <s v="Soo Jung Lee"/>
    <s v="789 29th Street"/>
    <x v="3"/>
    <s v="CO"/>
    <n v="99999"/>
    <x v="0"/>
    <s v="Check"/>
    <x v="0"/>
    <x v="0"/>
    <n v="14"/>
    <n v="50"/>
    <x v="212"/>
    <n v="67.2"/>
  </r>
  <r>
    <n v="1268"/>
    <x v="102"/>
    <n v="6"/>
    <x v="6"/>
    <s v="123 6th Street"/>
    <s v="Milwaukee"/>
    <x v="5"/>
    <n v="99999"/>
    <s v="USA"/>
    <x v="4"/>
    <x v="2"/>
    <d v="2014-09-08T00:00:00"/>
    <s v="Shipping Company C"/>
    <s v="Francisco Pérez-Olaeta"/>
    <s v="123 6th Street"/>
    <x v="5"/>
    <s v="WI"/>
    <n v="99999"/>
    <x v="0"/>
    <s v="Check"/>
    <x v="7"/>
    <x v="3"/>
    <n v="12.75"/>
    <n v="96"/>
    <x v="146"/>
    <n v="119.952"/>
  </r>
  <r>
    <n v="1270"/>
    <x v="107"/>
    <n v="4"/>
    <x v="1"/>
    <s v="123 4th Street"/>
    <s v="New York"/>
    <x v="1"/>
    <n v="99999"/>
    <s v="USA"/>
    <x v="1"/>
    <x v="1"/>
    <d v="2014-09-06T00:00:00"/>
    <s v="Shipping Company A"/>
    <s v="Christina Lee"/>
    <s v="123 4th Street"/>
    <x v="1"/>
    <s v="NY"/>
    <n v="99999"/>
    <x v="0"/>
    <s v="Credit Card"/>
    <x v="23"/>
    <x v="6"/>
    <n v="81"/>
    <n v="54"/>
    <x v="213"/>
    <n v="437.40000000000003"/>
  </r>
  <r>
    <n v="1271"/>
    <x v="107"/>
    <n v="4"/>
    <x v="1"/>
    <s v="123 4th Street"/>
    <s v="New York"/>
    <x v="1"/>
    <n v="99999"/>
    <s v="USA"/>
    <x v="1"/>
    <x v="1"/>
    <d v="2014-09-06T00:00:00"/>
    <s v="Shipping Company A"/>
    <s v="Christina Lee"/>
    <s v="123 4th Street"/>
    <x v="1"/>
    <s v="NY"/>
    <n v="99999"/>
    <x v="0"/>
    <s v="Credit Card"/>
    <x v="24"/>
    <x v="14"/>
    <n v="7"/>
    <n v="39"/>
    <x v="214"/>
    <n v="27.3"/>
  </r>
  <r>
    <n v="1273"/>
    <x v="103"/>
    <n v="8"/>
    <x v="3"/>
    <s v="123 8th Street"/>
    <s v="Portland"/>
    <x v="2"/>
    <n v="99999"/>
    <s v="USA"/>
    <x v="2"/>
    <x v="2"/>
    <d v="2014-09-10T00:00:00"/>
    <s v="Shipping Company C"/>
    <s v="Elizabeth Andersen"/>
    <s v="123 8th Street"/>
    <x v="2"/>
    <s v="OR"/>
    <n v="99999"/>
    <x v="0"/>
    <s v="Credit Card"/>
    <x v="15"/>
    <x v="10"/>
    <n v="34.799999999999997"/>
    <n v="63"/>
    <x v="59"/>
    <n v="230.202"/>
  </r>
  <r>
    <n v="1276"/>
    <x v="108"/>
    <n v="3"/>
    <x v="5"/>
    <s v="123 3rd Street"/>
    <s v="Los Angelas"/>
    <x v="4"/>
    <n v="99999"/>
    <s v="USA"/>
    <x v="0"/>
    <x v="0"/>
    <d v="2014-09-05T00:00:00"/>
    <s v="Shipping Company B"/>
    <s v="Thomas Axerr"/>
    <s v="123 3rd Street"/>
    <x v="4"/>
    <s v="CA"/>
    <n v="99999"/>
    <x v="0"/>
    <s v="Cash"/>
    <x v="16"/>
    <x v="7"/>
    <n v="10"/>
    <n v="71"/>
    <x v="215"/>
    <n v="73.13"/>
  </r>
  <r>
    <n v="1277"/>
    <x v="108"/>
    <n v="3"/>
    <x v="5"/>
    <s v="123 3rd Street"/>
    <s v="Los Angelas"/>
    <x v="4"/>
    <n v="99999"/>
    <s v="USA"/>
    <x v="0"/>
    <x v="0"/>
    <d v="2014-09-05T00:00:00"/>
    <s v="Shipping Company B"/>
    <s v="Thomas Axerr"/>
    <s v="123 3rd Street"/>
    <x v="4"/>
    <s v="CA"/>
    <n v="99999"/>
    <x v="0"/>
    <s v="Cash"/>
    <x v="9"/>
    <x v="5"/>
    <n v="40"/>
    <n v="88"/>
    <x v="216"/>
    <n v="366.08000000000004"/>
  </r>
  <r>
    <n v="1281"/>
    <x v="97"/>
    <n v="10"/>
    <x v="8"/>
    <s v="123 10th Street"/>
    <s v="Chicago"/>
    <x v="7"/>
    <n v="99999"/>
    <s v="USA"/>
    <x v="6"/>
    <x v="1"/>
    <d v="2014-09-12T00:00:00"/>
    <s v="Shipping Company B"/>
    <s v="Roland Wacker"/>
    <s v="123 10th Street"/>
    <x v="7"/>
    <s v="IL"/>
    <n v="99999"/>
    <x v="0"/>
    <s v="Credit Card"/>
    <x v="18"/>
    <x v="1"/>
    <n v="10"/>
    <n v="59"/>
    <x v="217"/>
    <n v="59.59"/>
  </r>
  <r>
    <n v="1282"/>
    <x v="109"/>
    <n v="6"/>
    <x v="6"/>
    <s v="123 6th Street"/>
    <s v="Milwaukee"/>
    <x v="5"/>
    <n v="99999"/>
    <s v="USA"/>
    <x v="4"/>
    <x v="2"/>
    <d v="2014-10-08T00:00:00"/>
    <s v="Shipping Company B"/>
    <s v="Francisco Pérez-Olaeta"/>
    <s v="123 6th Street"/>
    <x v="5"/>
    <s v="WI"/>
    <n v="99999"/>
    <x v="0"/>
    <s v="Credit Card"/>
    <x v="9"/>
    <x v="5"/>
    <n v="40"/>
    <n v="94"/>
    <x v="218"/>
    <n v="376"/>
  </r>
  <r>
    <n v="1283"/>
    <x v="110"/>
    <n v="28"/>
    <x v="7"/>
    <s v="789 28th Street"/>
    <s v="Memphis"/>
    <x v="6"/>
    <n v="99999"/>
    <s v="USA"/>
    <x v="5"/>
    <x v="3"/>
    <d v="2014-10-30T00:00:00"/>
    <s v="Shipping Company C"/>
    <s v="Amritansh Raghav"/>
    <s v="789 28th Street"/>
    <x v="6"/>
    <s v="TN"/>
    <n v="99999"/>
    <x v="0"/>
    <s v="Check"/>
    <x v="5"/>
    <x v="0"/>
    <n v="46"/>
    <n v="86"/>
    <x v="177"/>
    <n v="379.77600000000001"/>
  </r>
  <r>
    <n v="1284"/>
    <x v="111"/>
    <n v="8"/>
    <x v="3"/>
    <s v="123 8th Street"/>
    <s v="Portland"/>
    <x v="2"/>
    <n v="99999"/>
    <s v="USA"/>
    <x v="2"/>
    <x v="2"/>
    <d v="2014-10-10T00:00:00"/>
    <s v="Shipping Company C"/>
    <s v="Elizabeth Andersen"/>
    <s v="123 8th Street"/>
    <x v="2"/>
    <s v="OR"/>
    <n v="99999"/>
    <x v="0"/>
    <s v="Check"/>
    <x v="7"/>
    <x v="3"/>
    <n v="12.75"/>
    <n v="61"/>
    <x v="219"/>
    <n v="78.552750000000003"/>
  </r>
  <r>
    <n v="1285"/>
    <x v="112"/>
    <n v="10"/>
    <x v="8"/>
    <s v="123 10th Street"/>
    <s v="Chicago"/>
    <x v="7"/>
    <n v="99999"/>
    <s v="USA"/>
    <x v="6"/>
    <x v="1"/>
    <d v="2014-10-12T00:00:00"/>
    <s v="Shipping Company B"/>
    <s v="Roland Wacker"/>
    <s v="123 10th Street"/>
    <x v="7"/>
    <s v="IL"/>
    <n v="99999"/>
    <x v="0"/>
    <s v="Credit Card"/>
    <x v="10"/>
    <x v="0"/>
    <n v="2.99"/>
    <n v="32"/>
    <x v="220"/>
    <n v="9.7593600000000009"/>
  </r>
  <r>
    <n v="1286"/>
    <x v="113"/>
    <n v="7"/>
    <x v="9"/>
    <s v="123 7th Street"/>
    <s v="Boise"/>
    <x v="8"/>
    <n v="99999"/>
    <s v="USA"/>
    <x v="2"/>
    <x v="2"/>
    <m/>
    <m/>
    <s v="Ming-Yang Xie"/>
    <s v="123 7th Street"/>
    <x v="8"/>
    <s v="ID"/>
    <n v="99999"/>
    <x v="0"/>
    <m/>
    <x v="5"/>
    <x v="0"/>
    <n v="46"/>
    <n v="62"/>
    <x v="221"/>
    <n v="290.904"/>
  </r>
  <r>
    <n v="1287"/>
    <x v="112"/>
    <n v="10"/>
    <x v="8"/>
    <s v="123 10th Street"/>
    <s v="Chicago"/>
    <x v="7"/>
    <n v="99999"/>
    <s v="USA"/>
    <x v="6"/>
    <x v="1"/>
    <d v="2014-10-12T00:00:00"/>
    <s v="Shipping Company A"/>
    <s v="Roland Wacker"/>
    <s v="123 10th Street"/>
    <x v="7"/>
    <s v="IL"/>
    <n v="99999"/>
    <x v="0"/>
    <m/>
    <x v="11"/>
    <x v="6"/>
    <n v="25"/>
    <n v="60"/>
    <x v="222"/>
    <n v="154.5"/>
  </r>
  <r>
    <n v="1288"/>
    <x v="112"/>
    <n v="10"/>
    <x v="8"/>
    <s v="123 10th Street"/>
    <s v="Chicago"/>
    <x v="7"/>
    <n v="99999"/>
    <s v="USA"/>
    <x v="6"/>
    <x v="1"/>
    <d v="2014-10-12T00:00:00"/>
    <s v="Shipping Company A"/>
    <s v="Roland Wacker"/>
    <s v="123 10th Street"/>
    <x v="7"/>
    <s v="IL"/>
    <n v="99999"/>
    <x v="0"/>
    <m/>
    <x v="12"/>
    <x v="7"/>
    <n v="22"/>
    <n v="51"/>
    <x v="223"/>
    <n v="109.956"/>
  </r>
  <r>
    <n v="1289"/>
    <x v="112"/>
    <n v="10"/>
    <x v="8"/>
    <s v="123 10th Street"/>
    <s v="Chicago"/>
    <x v="7"/>
    <n v="99999"/>
    <s v="USA"/>
    <x v="6"/>
    <x v="1"/>
    <d v="2014-10-12T00:00:00"/>
    <s v="Shipping Company A"/>
    <s v="Roland Wacker"/>
    <s v="123 10th Street"/>
    <x v="7"/>
    <s v="IL"/>
    <n v="99999"/>
    <x v="0"/>
    <m/>
    <x v="6"/>
    <x v="2"/>
    <n v="9.1999999999999993"/>
    <n v="49"/>
    <x v="224"/>
    <n v="44.629199999999997"/>
  </r>
  <r>
    <n v="1290"/>
    <x v="114"/>
    <n v="11"/>
    <x v="10"/>
    <s v="123 11th Street"/>
    <s v="Miami"/>
    <x v="9"/>
    <n v="99999"/>
    <s v="USA"/>
    <x v="5"/>
    <x v="3"/>
    <m/>
    <s v="Shipping Company C"/>
    <s v="Peter Krschne"/>
    <s v="123 11th Street"/>
    <x v="9"/>
    <s v="FL"/>
    <n v="99999"/>
    <x v="0"/>
    <m/>
    <x v="1"/>
    <x v="1"/>
    <n v="3.5"/>
    <n v="20"/>
    <x v="225"/>
    <n v="6.93"/>
  </r>
  <r>
    <n v="1291"/>
    <x v="114"/>
    <n v="11"/>
    <x v="10"/>
    <s v="123 11th Street"/>
    <s v="Miami"/>
    <x v="9"/>
    <n v="99999"/>
    <s v="USA"/>
    <x v="5"/>
    <x v="3"/>
    <m/>
    <s v="Shipping Company C"/>
    <s v="Peter Krschne"/>
    <s v="123 11th Street"/>
    <x v="9"/>
    <s v="FL"/>
    <n v="99999"/>
    <x v="0"/>
    <m/>
    <x v="10"/>
    <x v="0"/>
    <n v="2.99"/>
    <n v="49"/>
    <x v="20"/>
    <n v="14.651000000000003"/>
  </r>
  <r>
    <n v="1292"/>
    <x v="115"/>
    <n v="1"/>
    <x v="11"/>
    <s v="123 1st Street"/>
    <s v="Seattle"/>
    <x v="10"/>
    <n v="99999"/>
    <s v="USA"/>
    <x v="2"/>
    <x v="2"/>
    <m/>
    <m/>
    <s v="Anna Bedecs"/>
    <s v="123 1st Street"/>
    <x v="10"/>
    <s v="WA"/>
    <n v="99999"/>
    <x v="0"/>
    <m/>
    <x v="4"/>
    <x v="0"/>
    <n v="18"/>
    <n v="22"/>
    <x v="226"/>
    <n v="38.015999999999998"/>
  </r>
  <r>
    <n v="1293"/>
    <x v="115"/>
    <n v="1"/>
    <x v="11"/>
    <s v="123 1st Street"/>
    <s v="Seattle"/>
    <x v="10"/>
    <n v="99999"/>
    <s v="USA"/>
    <x v="2"/>
    <x v="2"/>
    <m/>
    <m/>
    <s v="Anna Bedecs"/>
    <s v="123 1st Street"/>
    <x v="10"/>
    <s v="WA"/>
    <n v="99999"/>
    <x v="0"/>
    <m/>
    <x v="5"/>
    <x v="0"/>
    <n v="46"/>
    <n v="73"/>
    <x v="227"/>
    <n v="339.15800000000002"/>
  </r>
  <r>
    <n v="1294"/>
    <x v="115"/>
    <n v="1"/>
    <x v="11"/>
    <s v="123 1st Street"/>
    <s v="Seattle"/>
    <x v="10"/>
    <n v="99999"/>
    <s v="USA"/>
    <x v="2"/>
    <x v="2"/>
    <m/>
    <m/>
    <s v="Anna Bedecs"/>
    <s v="123 1st Street"/>
    <x v="10"/>
    <s v="WA"/>
    <n v="99999"/>
    <x v="0"/>
    <m/>
    <x v="10"/>
    <x v="0"/>
    <n v="2.99"/>
    <n v="85"/>
    <x v="228"/>
    <n v="24.652550000000002"/>
  </r>
  <r>
    <n v="1295"/>
    <x v="110"/>
    <n v="28"/>
    <x v="7"/>
    <s v="789 28th Street"/>
    <s v="Memphis"/>
    <x v="6"/>
    <n v="99999"/>
    <s v="USA"/>
    <x v="5"/>
    <x v="3"/>
    <d v="2014-10-30T00:00:00"/>
    <s v="Shipping Company C"/>
    <s v="Amritansh Raghav"/>
    <s v="789 28th Street"/>
    <x v="6"/>
    <s v="TN"/>
    <n v="99999"/>
    <x v="0"/>
    <s v="Credit Card"/>
    <x v="8"/>
    <x v="4"/>
    <n v="9.65"/>
    <n v="44"/>
    <x v="229"/>
    <n v="44.158400000000007"/>
  </r>
  <r>
    <n v="1296"/>
    <x v="110"/>
    <n v="28"/>
    <x v="7"/>
    <s v="789 28th Street"/>
    <s v="Memphis"/>
    <x v="6"/>
    <n v="99999"/>
    <s v="USA"/>
    <x v="5"/>
    <x v="3"/>
    <d v="2014-10-30T00:00:00"/>
    <s v="Shipping Company C"/>
    <s v="Amritansh Raghav"/>
    <s v="789 28th Street"/>
    <x v="6"/>
    <s v="TN"/>
    <n v="99999"/>
    <x v="0"/>
    <s v="Credit Card"/>
    <x v="13"/>
    <x v="8"/>
    <n v="18.399999999999999"/>
    <n v="24"/>
    <x v="230"/>
    <n v="42.835199999999993"/>
  </r>
  <r>
    <n v="1297"/>
    <x v="116"/>
    <n v="9"/>
    <x v="12"/>
    <s v="123 9th Street"/>
    <s v="Salt Lake City"/>
    <x v="11"/>
    <n v="99999"/>
    <s v="USA"/>
    <x v="7"/>
    <x v="0"/>
    <d v="2014-10-11T00:00:00"/>
    <s v="Shipping Company A"/>
    <s v="Sven Mortensen"/>
    <s v="123 9th Street"/>
    <x v="11"/>
    <s v="UT"/>
    <n v="99999"/>
    <x v="0"/>
    <s v="Check"/>
    <x v="14"/>
    <x v="9"/>
    <n v="19.5"/>
    <n v="64"/>
    <x v="231"/>
    <n v="119.80800000000001"/>
  </r>
  <r>
    <n v="1298"/>
    <x v="116"/>
    <n v="9"/>
    <x v="12"/>
    <s v="123 9th Street"/>
    <s v="Salt Lake City"/>
    <x v="11"/>
    <n v="99999"/>
    <s v="USA"/>
    <x v="7"/>
    <x v="0"/>
    <d v="2014-10-11T00:00:00"/>
    <s v="Shipping Company A"/>
    <s v="Sven Mortensen"/>
    <s v="123 9th Street"/>
    <x v="11"/>
    <s v="UT"/>
    <n v="99999"/>
    <x v="0"/>
    <s v="Check"/>
    <x v="15"/>
    <x v="10"/>
    <n v="34.799999999999997"/>
    <n v="70"/>
    <x v="232"/>
    <n v="246.03600000000003"/>
  </r>
  <r>
    <n v="1299"/>
    <x v="109"/>
    <n v="6"/>
    <x v="6"/>
    <s v="123 6th Street"/>
    <s v="Milwaukee"/>
    <x v="5"/>
    <n v="99999"/>
    <s v="USA"/>
    <x v="4"/>
    <x v="2"/>
    <d v="2014-10-08T00:00:00"/>
    <s v="Shipping Company B"/>
    <s v="Francisco Pérez-Olaeta"/>
    <s v="123 6th Street"/>
    <x v="5"/>
    <s v="WI"/>
    <n v="99999"/>
    <x v="0"/>
    <s v="Credit Card"/>
    <x v="0"/>
    <x v="0"/>
    <n v="14"/>
    <n v="98"/>
    <x v="233"/>
    <n v="138.57200000000003"/>
  </r>
  <r>
    <n v="1300"/>
    <x v="111"/>
    <n v="8"/>
    <x v="3"/>
    <s v="123 8th Street"/>
    <s v="Portland"/>
    <x v="2"/>
    <n v="99999"/>
    <s v="USA"/>
    <x v="2"/>
    <x v="2"/>
    <d v="2014-10-10T00:00:00"/>
    <s v="Shipping Company B"/>
    <s v="Elizabeth Andersen"/>
    <s v="123 8th Street"/>
    <x v="2"/>
    <s v="OR"/>
    <n v="99999"/>
    <x v="0"/>
    <s v="Check"/>
    <x v="9"/>
    <x v="5"/>
    <n v="40"/>
    <n v="48"/>
    <x v="208"/>
    <n v="188.16"/>
  </r>
  <r>
    <n v="1301"/>
    <x v="111"/>
    <n v="8"/>
    <x v="3"/>
    <s v="123 8th Street"/>
    <s v="Portland"/>
    <x v="2"/>
    <n v="99999"/>
    <s v="USA"/>
    <x v="2"/>
    <x v="2"/>
    <d v="2014-10-10T00:00:00"/>
    <s v="Shipping Company B"/>
    <s v="Elizabeth Andersen"/>
    <s v="123 8th Street"/>
    <x v="2"/>
    <s v="OR"/>
    <n v="99999"/>
    <x v="0"/>
    <s v="Check"/>
    <x v="6"/>
    <x v="2"/>
    <n v="9.1999999999999993"/>
    <n v="100"/>
    <x v="234"/>
    <n v="91.08"/>
  </r>
  <r>
    <n v="1302"/>
    <x v="117"/>
    <n v="25"/>
    <x v="13"/>
    <s v="789 25th Street"/>
    <s v="Chicago"/>
    <x v="7"/>
    <n v="99999"/>
    <s v="USA"/>
    <x v="6"/>
    <x v="1"/>
    <d v="2014-10-27T00:00:00"/>
    <s v="Shipping Company A"/>
    <s v="John Rodman"/>
    <s v="789 25th Street"/>
    <x v="7"/>
    <s v="IL"/>
    <n v="99999"/>
    <x v="0"/>
    <s v="Cash"/>
    <x v="21"/>
    <x v="2"/>
    <n v="10"/>
    <n v="90"/>
    <x v="235"/>
    <n v="87.3"/>
  </r>
  <r>
    <n v="1303"/>
    <x v="118"/>
    <n v="26"/>
    <x v="14"/>
    <s v="789 26th Street"/>
    <s v="Miami"/>
    <x v="9"/>
    <n v="99999"/>
    <s v="USA"/>
    <x v="5"/>
    <x v="3"/>
    <d v="2014-10-28T00:00:00"/>
    <s v="Shipping Company C"/>
    <s v="Run Liu"/>
    <s v="789 26th Street"/>
    <x v="9"/>
    <s v="FL"/>
    <n v="99999"/>
    <x v="0"/>
    <s v="Credit Card"/>
    <x v="22"/>
    <x v="13"/>
    <n v="21.35"/>
    <n v="49"/>
    <x v="236"/>
    <n v="102.5227"/>
  </r>
  <r>
    <n v="1304"/>
    <x v="118"/>
    <n v="26"/>
    <x v="14"/>
    <s v="789 26th Street"/>
    <s v="Miami"/>
    <x v="9"/>
    <n v="99999"/>
    <s v="USA"/>
    <x v="5"/>
    <x v="3"/>
    <d v="2014-10-28T00:00:00"/>
    <s v="Shipping Company C"/>
    <s v="Run Liu"/>
    <s v="789 26th Street"/>
    <x v="9"/>
    <s v="FL"/>
    <n v="99999"/>
    <x v="0"/>
    <s v="Credit Card"/>
    <x v="8"/>
    <x v="4"/>
    <n v="9.65"/>
    <n v="71"/>
    <x v="237"/>
    <n v="65.7744"/>
  </r>
  <r>
    <n v="1305"/>
    <x v="118"/>
    <n v="26"/>
    <x v="14"/>
    <s v="789 26th Street"/>
    <s v="Miami"/>
    <x v="9"/>
    <n v="99999"/>
    <s v="USA"/>
    <x v="5"/>
    <x v="3"/>
    <d v="2014-10-28T00:00:00"/>
    <s v="Shipping Company C"/>
    <s v="Run Liu"/>
    <s v="789 26th Street"/>
    <x v="9"/>
    <s v="FL"/>
    <n v="99999"/>
    <x v="0"/>
    <s v="Credit Card"/>
    <x v="13"/>
    <x v="8"/>
    <n v="18.399999999999999"/>
    <n v="10"/>
    <x v="238"/>
    <n v="19.136000000000003"/>
  </r>
  <r>
    <n v="1306"/>
    <x v="119"/>
    <n v="29"/>
    <x v="4"/>
    <s v="789 29th Street"/>
    <s v="Denver"/>
    <x v="3"/>
    <n v="99999"/>
    <s v="USA"/>
    <x v="3"/>
    <x v="0"/>
    <d v="2014-10-31T00:00:00"/>
    <s v="Shipping Company B"/>
    <s v="Soo Jung Lee"/>
    <s v="789 29th Street"/>
    <x v="3"/>
    <s v="CO"/>
    <n v="99999"/>
    <x v="0"/>
    <s v="Check"/>
    <x v="0"/>
    <x v="0"/>
    <n v="14"/>
    <n v="78"/>
    <x v="239"/>
    <n v="112.476"/>
  </r>
  <r>
    <n v="1307"/>
    <x v="109"/>
    <n v="6"/>
    <x v="6"/>
    <s v="123 6th Street"/>
    <s v="Milwaukee"/>
    <x v="5"/>
    <n v="99999"/>
    <s v="USA"/>
    <x v="4"/>
    <x v="2"/>
    <d v="2014-10-08T00:00:00"/>
    <s v="Shipping Company C"/>
    <s v="Francisco Pérez-Olaeta"/>
    <s v="123 6th Street"/>
    <x v="5"/>
    <s v="WI"/>
    <n v="99999"/>
    <x v="0"/>
    <s v="Check"/>
    <x v="7"/>
    <x v="3"/>
    <n v="12.75"/>
    <n v="44"/>
    <x v="134"/>
    <n v="53.856000000000002"/>
  </r>
  <r>
    <n v="1309"/>
    <x v="120"/>
    <n v="4"/>
    <x v="1"/>
    <s v="123 4th Street"/>
    <s v="New York"/>
    <x v="1"/>
    <n v="99999"/>
    <s v="USA"/>
    <x v="1"/>
    <x v="1"/>
    <d v="2014-10-06T00:00:00"/>
    <s v="Shipping Company A"/>
    <s v="Christina Lee"/>
    <s v="123 4th Street"/>
    <x v="1"/>
    <s v="NY"/>
    <n v="99999"/>
    <x v="0"/>
    <s v="Credit Card"/>
    <x v="23"/>
    <x v="6"/>
    <n v="81"/>
    <n v="82"/>
    <x v="240"/>
    <n v="697.41000000000008"/>
  </r>
  <r>
    <n v="1310"/>
    <x v="120"/>
    <n v="4"/>
    <x v="1"/>
    <s v="123 4th Street"/>
    <s v="New York"/>
    <x v="1"/>
    <n v="99999"/>
    <s v="USA"/>
    <x v="1"/>
    <x v="1"/>
    <d v="2014-10-06T00:00:00"/>
    <s v="Shipping Company A"/>
    <s v="Christina Lee"/>
    <s v="123 4th Street"/>
    <x v="1"/>
    <s v="NY"/>
    <n v="99999"/>
    <x v="0"/>
    <s v="Credit Card"/>
    <x v="24"/>
    <x v="14"/>
    <n v="7"/>
    <n v="29"/>
    <x v="241"/>
    <n v="20.3"/>
  </r>
  <r>
    <n v="1312"/>
    <x v="111"/>
    <n v="8"/>
    <x v="3"/>
    <s v="123 8th Street"/>
    <s v="Portland"/>
    <x v="2"/>
    <n v="99999"/>
    <s v="USA"/>
    <x v="2"/>
    <x v="2"/>
    <d v="2014-10-10T00:00:00"/>
    <s v="Shipping Company C"/>
    <s v="Elizabeth Andersen"/>
    <s v="123 8th Street"/>
    <x v="2"/>
    <s v="OR"/>
    <n v="99999"/>
    <x v="0"/>
    <s v="Credit Card"/>
    <x v="15"/>
    <x v="10"/>
    <n v="34.799999999999997"/>
    <n v="93"/>
    <x v="242"/>
    <n v="313.93079999999998"/>
  </r>
  <r>
    <n v="1315"/>
    <x v="121"/>
    <n v="3"/>
    <x v="5"/>
    <s v="123 3rd Street"/>
    <s v="Los Angelas"/>
    <x v="4"/>
    <n v="99999"/>
    <s v="USA"/>
    <x v="0"/>
    <x v="0"/>
    <d v="2014-10-05T00:00:00"/>
    <s v="Shipping Company B"/>
    <s v="Thomas Axerr"/>
    <s v="123 3rd Street"/>
    <x v="4"/>
    <s v="CA"/>
    <n v="99999"/>
    <x v="0"/>
    <s v="Cash"/>
    <x v="16"/>
    <x v="7"/>
    <n v="10"/>
    <n v="11"/>
    <x v="243"/>
    <n v="11.440000000000001"/>
  </r>
  <r>
    <n v="1316"/>
    <x v="121"/>
    <n v="3"/>
    <x v="5"/>
    <s v="123 3rd Street"/>
    <s v="Los Angelas"/>
    <x v="4"/>
    <n v="99999"/>
    <s v="USA"/>
    <x v="0"/>
    <x v="0"/>
    <d v="2014-10-05T00:00:00"/>
    <s v="Shipping Company B"/>
    <s v="Thomas Axerr"/>
    <s v="123 3rd Street"/>
    <x v="4"/>
    <s v="CA"/>
    <n v="99999"/>
    <x v="0"/>
    <s v="Cash"/>
    <x v="9"/>
    <x v="5"/>
    <n v="40"/>
    <n v="91"/>
    <x v="157"/>
    <n v="364"/>
  </r>
  <r>
    <n v="1320"/>
    <x v="112"/>
    <n v="10"/>
    <x v="8"/>
    <s v="123 10th Street"/>
    <s v="Chicago"/>
    <x v="7"/>
    <n v="99999"/>
    <s v="USA"/>
    <x v="6"/>
    <x v="1"/>
    <d v="2014-10-12T00:00:00"/>
    <s v="Shipping Company B"/>
    <s v="Roland Wacker"/>
    <s v="123 10th Street"/>
    <x v="7"/>
    <s v="IL"/>
    <n v="99999"/>
    <x v="0"/>
    <s v="Credit Card"/>
    <x v="18"/>
    <x v="1"/>
    <n v="10"/>
    <n v="12"/>
    <x v="244"/>
    <n v="12.36"/>
  </r>
  <r>
    <n v="1322"/>
    <x v="112"/>
    <n v="10"/>
    <x v="8"/>
    <s v="123 10th Street"/>
    <s v="Chicago"/>
    <x v="7"/>
    <n v="99999"/>
    <s v="USA"/>
    <x v="6"/>
    <x v="1"/>
    <m/>
    <s v="Shipping Company A"/>
    <s v="Roland Wacker"/>
    <s v="123 10th Street"/>
    <x v="7"/>
    <s v="IL"/>
    <n v="99999"/>
    <x v="0"/>
    <m/>
    <x v="1"/>
    <x v="1"/>
    <n v="3.5"/>
    <n v="78"/>
    <x v="214"/>
    <n v="27.3"/>
  </r>
  <r>
    <n v="1323"/>
    <x v="114"/>
    <n v="11"/>
    <x v="10"/>
    <s v="123 11th Street"/>
    <s v="Miami"/>
    <x v="9"/>
    <n v="99999"/>
    <s v="USA"/>
    <x v="5"/>
    <x v="3"/>
    <m/>
    <s v="Shipping Company C"/>
    <s v="Peter Krschne"/>
    <s v="123 11th Street"/>
    <x v="9"/>
    <s v="FL"/>
    <n v="99999"/>
    <x v="0"/>
    <m/>
    <x v="9"/>
    <x v="5"/>
    <n v="40"/>
    <n v="60"/>
    <x v="245"/>
    <n v="228"/>
  </r>
  <r>
    <n v="1324"/>
    <x v="115"/>
    <n v="1"/>
    <x v="11"/>
    <s v="123 1st Street"/>
    <s v="Seattle"/>
    <x v="10"/>
    <n v="99999"/>
    <s v="USA"/>
    <x v="2"/>
    <x v="2"/>
    <m/>
    <s v="Shipping Company C"/>
    <s v="Anna Bedecs"/>
    <s v="123 1st Street"/>
    <x v="10"/>
    <s v="WA"/>
    <n v="99999"/>
    <x v="0"/>
    <m/>
    <x v="13"/>
    <x v="8"/>
    <n v="18.399999999999999"/>
    <n v="23"/>
    <x v="246"/>
    <n v="43.589600000000004"/>
  </r>
  <r>
    <n v="1325"/>
    <x v="110"/>
    <n v="28"/>
    <x v="7"/>
    <s v="789 28th Street"/>
    <s v="Memphis"/>
    <x v="6"/>
    <n v="99999"/>
    <s v="USA"/>
    <x v="5"/>
    <x v="3"/>
    <d v="2014-10-30T00:00:00"/>
    <s v="Shipping Company C"/>
    <s v="Amritansh Raghav"/>
    <s v="789 28th Street"/>
    <x v="6"/>
    <s v="TN"/>
    <n v="99999"/>
    <x v="0"/>
    <s v="Credit Card"/>
    <x v="5"/>
    <x v="0"/>
    <n v="46"/>
    <n v="34"/>
    <x v="247"/>
    <n v="157.964"/>
  </r>
  <r>
    <n v="1326"/>
    <x v="116"/>
    <n v="9"/>
    <x v="12"/>
    <s v="123 9th Street"/>
    <s v="Salt Lake City"/>
    <x v="11"/>
    <n v="99999"/>
    <s v="USA"/>
    <x v="7"/>
    <x v="0"/>
    <d v="2014-10-11T00:00:00"/>
    <s v="Shipping Company A"/>
    <s v="Sven Mortensen"/>
    <s v="123 9th Street"/>
    <x v="11"/>
    <s v="UT"/>
    <n v="99999"/>
    <x v="0"/>
    <s v="Check"/>
    <x v="8"/>
    <x v="4"/>
    <n v="9.65"/>
    <n v="89"/>
    <x v="248"/>
    <n v="86.743850000000009"/>
  </r>
  <r>
    <n v="1327"/>
    <x v="109"/>
    <n v="6"/>
    <x v="6"/>
    <s v="123 6th Street"/>
    <s v="Milwaukee"/>
    <x v="5"/>
    <n v="99999"/>
    <s v="USA"/>
    <x v="4"/>
    <x v="2"/>
    <d v="2014-10-08T00:00:00"/>
    <s v="Shipping Company B"/>
    <s v="Francisco Pérez-Olaeta"/>
    <s v="123 6th Street"/>
    <x v="5"/>
    <s v="WI"/>
    <n v="99999"/>
    <x v="0"/>
    <s v="Credit Card"/>
    <x v="7"/>
    <x v="3"/>
    <n v="12.75"/>
    <n v="82"/>
    <x v="249"/>
    <n v="103.50450000000001"/>
  </r>
  <r>
    <n v="1328"/>
    <x v="111"/>
    <n v="8"/>
    <x v="3"/>
    <s v="123 8th Street"/>
    <s v="Portland"/>
    <x v="2"/>
    <n v="99999"/>
    <s v="USA"/>
    <x v="2"/>
    <x v="2"/>
    <d v="2014-10-10T00:00:00"/>
    <s v="Shipping Company B"/>
    <s v="Elizabeth Andersen"/>
    <s v="123 8th Street"/>
    <x v="2"/>
    <s v="OR"/>
    <n v="99999"/>
    <x v="0"/>
    <s v="Check"/>
    <x v="7"/>
    <x v="3"/>
    <n v="12.75"/>
    <n v="43"/>
    <x v="250"/>
    <n v="52.631999999999998"/>
  </r>
  <r>
    <n v="1329"/>
    <x v="122"/>
    <n v="10"/>
    <x v="8"/>
    <s v="123 10th Street"/>
    <s v="Chicago"/>
    <x v="7"/>
    <n v="99999"/>
    <s v="USA"/>
    <x v="6"/>
    <x v="1"/>
    <d v="2014-11-12T00:00:00"/>
    <s v="Shipping Company A"/>
    <s v="Roland Wacker"/>
    <s v="123 10th Street"/>
    <x v="7"/>
    <s v="IL"/>
    <n v="99999"/>
    <x v="0"/>
    <m/>
    <x v="12"/>
    <x v="7"/>
    <n v="22"/>
    <n v="96"/>
    <x v="251"/>
    <n v="221.76000000000002"/>
  </r>
  <r>
    <n v="1330"/>
    <x v="122"/>
    <n v="10"/>
    <x v="8"/>
    <s v="123 10th Street"/>
    <s v="Chicago"/>
    <x v="7"/>
    <n v="99999"/>
    <s v="USA"/>
    <x v="6"/>
    <x v="1"/>
    <d v="2014-11-12T00:00:00"/>
    <s v="Shipping Company A"/>
    <s v="Roland Wacker"/>
    <s v="123 10th Street"/>
    <x v="7"/>
    <s v="IL"/>
    <n v="99999"/>
    <x v="0"/>
    <m/>
    <x v="6"/>
    <x v="2"/>
    <n v="9.1999999999999993"/>
    <n v="34"/>
    <x v="252"/>
    <n v="31.279999999999998"/>
  </r>
  <r>
    <n v="1331"/>
    <x v="123"/>
    <n v="11"/>
    <x v="10"/>
    <s v="123 11th Street"/>
    <s v="Miami"/>
    <x v="9"/>
    <n v="99999"/>
    <s v="USA"/>
    <x v="5"/>
    <x v="3"/>
    <m/>
    <s v="Shipping Company C"/>
    <s v="Peter Krschne"/>
    <s v="123 11th Street"/>
    <x v="9"/>
    <s v="FL"/>
    <n v="99999"/>
    <x v="0"/>
    <m/>
    <x v="1"/>
    <x v="1"/>
    <n v="3.5"/>
    <n v="42"/>
    <x v="253"/>
    <n v="15.141000000000002"/>
  </r>
  <r>
    <n v="1332"/>
    <x v="123"/>
    <n v="11"/>
    <x v="10"/>
    <s v="123 11th Street"/>
    <s v="Miami"/>
    <x v="9"/>
    <n v="99999"/>
    <s v="USA"/>
    <x v="5"/>
    <x v="3"/>
    <m/>
    <s v="Shipping Company C"/>
    <s v="Peter Krschne"/>
    <s v="123 11th Street"/>
    <x v="9"/>
    <s v="FL"/>
    <n v="99999"/>
    <x v="0"/>
    <m/>
    <x v="10"/>
    <x v="0"/>
    <n v="2.99"/>
    <n v="100"/>
    <x v="254"/>
    <n v="30.498000000000001"/>
  </r>
  <r>
    <n v="1333"/>
    <x v="124"/>
    <n v="1"/>
    <x v="11"/>
    <s v="123 1st Street"/>
    <s v="Seattle"/>
    <x v="10"/>
    <n v="99999"/>
    <s v="USA"/>
    <x v="2"/>
    <x v="2"/>
    <m/>
    <m/>
    <s v="Anna Bedecs"/>
    <s v="123 1st Street"/>
    <x v="10"/>
    <s v="WA"/>
    <n v="99999"/>
    <x v="0"/>
    <m/>
    <x v="4"/>
    <x v="0"/>
    <n v="18"/>
    <n v="42"/>
    <x v="21"/>
    <n v="76.356000000000009"/>
  </r>
  <r>
    <n v="1334"/>
    <x v="124"/>
    <n v="1"/>
    <x v="11"/>
    <s v="123 1st Street"/>
    <s v="Seattle"/>
    <x v="10"/>
    <n v="99999"/>
    <s v="USA"/>
    <x v="2"/>
    <x v="2"/>
    <m/>
    <m/>
    <s v="Anna Bedecs"/>
    <s v="123 1st Street"/>
    <x v="10"/>
    <s v="WA"/>
    <n v="99999"/>
    <x v="0"/>
    <m/>
    <x v="5"/>
    <x v="0"/>
    <n v="46"/>
    <n v="16"/>
    <x v="129"/>
    <n v="70.656000000000006"/>
  </r>
  <r>
    <n v="1335"/>
    <x v="124"/>
    <n v="1"/>
    <x v="11"/>
    <s v="123 1st Street"/>
    <s v="Seattle"/>
    <x v="10"/>
    <n v="99999"/>
    <s v="USA"/>
    <x v="2"/>
    <x v="2"/>
    <m/>
    <m/>
    <s v="Anna Bedecs"/>
    <s v="123 1st Street"/>
    <x v="10"/>
    <s v="WA"/>
    <n v="99999"/>
    <x v="0"/>
    <m/>
    <x v="10"/>
    <x v="0"/>
    <n v="2.99"/>
    <n v="22"/>
    <x v="255"/>
    <n v="6.3806599999999998"/>
  </r>
  <r>
    <n v="1336"/>
    <x v="125"/>
    <n v="28"/>
    <x v="7"/>
    <s v="789 28th Street"/>
    <s v="Memphis"/>
    <x v="6"/>
    <n v="99999"/>
    <s v="USA"/>
    <x v="5"/>
    <x v="3"/>
    <d v="2014-11-30T00:00:00"/>
    <s v="Shipping Company C"/>
    <s v="Amritansh Raghav"/>
    <s v="789 28th Street"/>
    <x v="6"/>
    <s v="TN"/>
    <n v="99999"/>
    <x v="0"/>
    <s v="Credit Card"/>
    <x v="8"/>
    <x v="4"/>
    <n v="9.65"/>
    <n v="46"/>
    <x v="256"/>
    <n v="45.721700000000006"/>
  </r>
  <r>
    <n v="1337"/>
    <x v="125"/>
    <n v="28"/>
    <x v="7"/>
    <s v="789 28th Street"/>
    <s v="Memphis"/>
    <x v="6"/>
    <n v="99999"/>
    <s v="USA"/>
    <x v="5"/>
    <x v="3"/>
    <n v="41973"/>
    <s v="Shipping Company C"/>
    <s v="Amritansh Raghav"/>
    <s v="789 28th Street"/>
    <x v="6"/>
    <s v="TN"/>
    <n v="99999"/>
    <x v="0"/>
    <s v="Credit Card"/>
    <x v="13"/>
    <x v="8"/>
    <n v="18.399999999999999"/>
    <n v="100"/>
    <x v="257"/>
    <n v="184"/>
  </r>
  <r>
    <n v="1338"/>
    <x v="126"/>
    <n v="9"/>
    <x v="12"/>
    <s v="123 9th Street"/>
    <s v="Salt Lake City"/>
    <x v="11"/>
    <n v="99999"/>
    <s v="USA"/>
    <x v="7"/>
    <x v="0"/>
    <n v="41954"/>
    <s v="Shipping Company A"/>
    <s v="Sven Mortensen"/>
    <s v="123 9th Street"/>
    <x v="11"/>
    <s v="UT"/>
    <n v="99999"/>
    <x v="0"/>
    <s v="Check"/>
    <x v="14"/>
    <x v="9"/>
    <n v="19.5"/>
    <n v="87"/>
    <x v="258"/>
    <n v="174.73950000000002"/>
  </r>
  <r>
    <n v="1339"/>
    <x v="126"/>
    <n v="9"/>
    <x v="12"/>
    <s v="123 9th Street"/>
    <s v="Salt Lake City"/>
    <x v="11"/>
    <n v="99999"/>
    <s v="USA"/>
    <x v="7"/>
    <x v="0"/>
    <n v="41954"/>
    <s v="Shipping Company A"/>
    <s v="Sven Mortensen"/>
    <s v="123 9th Street"/>
    <x v="11"/>
    <s v="UT"/>
    <n v="99999"/>
    <x v="0"/>
    <s v="Check"/>
    <x v="15"/>
    <x v="10"/>
    <n v="34.799999999999997"/>
    <n v="58"/>
    <x v="259"/>
    <n v="205.8768"/>
  </r>
  <r>
    <n v="1340"/>
    <x v="127"/>
    <n v="6"/>
    <x v="6"/>
    <s v="123 6th Street"/>
    <s v="Milwaukee"/>
    <x v="5"/>
    <n v="99999"/>
    <s v="USA"/>
    <x v="4"/>
    <x v="2"/>
    <n v="41951"/>
    <s v="Shipping Company B"/>
    <s v="Francisco Pérez-Olaeta"/>
    <s v="123 6th Street"/>
    <x v="5"/>
    <s v="WI"/>
    <n v="99999"/>
    <x v="0"/>
    <s v="Credit Card"/>
    <x v="0"/>
    <x v="0"/>
    <n v="14"/>
    <n v="85"/>
    <x v="260"/>
    <n v="120.19"/>
  </r>
  <r>
    <n v="1341"/>
    <x v="128"/>
    <n v="8"/>
    <x v="3"/>
    <s v="123 8th Street"/>
    <s v="Portland"/>
    <x v="2"/>
    <n v="99999"/>
    <s v="USA"/>
    <x v="2"/>
    <x v="2"/>
    <n v="41953"/>
    <s v="Shipping Company B"/>
    <s v="Elizabeth Andersen"/>
    <s v="123 8th Street"/>
    <x v="2"/>
    <s v="OR"/>
    <n v="99999"/>
    <x v="0"/>
    <s v="Check"/>
    <x v="9"/>
    <x v="5"/>
    <n v="40"/>
    <n v="28"/>
    <x v="139"/>
    <n v="110.88"/>
  </r>
  <r>
    <n v="1342"/>
    <x v="128"/>
    <n v="8"/>
    <x v="3"/>
    <s v="123 8th Street"/>
    <s v="Portland"/>
    <x v="2"/>
    <n v="99999"/>
    <s v="USA"/>
    <x v="2"/>
    <x v="2"/>
    <d v="2014-11-10T00:00:00"/>
    <s v="Shipping Company B"/>
    <s v="Elizabeth Andersen"/>
    <s v="123 8th Street"/>
    <x v="2"/>
    <s v="OR"/>
    <n v="99999"/>
    <x v="0"/>
    <s v="Check"/>
    <x v="6"/>
    <x v="2"/>
    <n v="9.1999999999999993"/>
    <n v="19"/>
    <x v="261"/>
    <n v="17.130400000000002"/>
  </r>
  <r>
    <n v="1343"/>
    <x v="129"/>
    <n v="25"/>
    <x v="13"/>
    <s v="789 25th Street"/>
    <s v="Chicago"/>
    <x v="7"/>
    <n v="99999"/>
    <s v="USA"/>
    <x v="6"/>
    <x v="1"/>
    <d v="2014-11-27T00:00:00"/>
    <s v="Shipping Company A"/>
    <s v="John Rodman"/>
    <s v="789 25th Street"/>
    <x v="7"/>
    <s v="IL"/>
    <n v="99999"/>
    <x v="0"/>
    <s v="Cash"/>
    <x v="21"/>
    <x v="2"/>
    <n v="10"/>
    <n v="99"/>
    <x v="82"/>
    <n v="102.96000000000001"/>
  </r>
  <r>
    <n v="1344"/>
    <x v="130"/>
    <n v="26"/>
    <x v="14"/>
    <s v="789 26th Street"/>
    <s v="Miami"/>
    <x v="9"/>
    <n v="99999"/>
    <s v="USA"/>
    <x v="5"/>
    <x v="3"/>
    <d v="2014-11-28T00:00:00"/>
    <s v="Shipping Company C"/>
    <s v="Run Liu"/>
    <s v="789 26th Street"/>
    <x v="9"/>
    <s v="FL"/>
    <n v="99999"/>
    <x v="0"/>
    <s v="Credit Card"/>
    <x v="22"/>
    <x v="13"/>
    <n v="21.35"/>
    <n v="69"/>
    <x v="262"/>
    <n v="153.20760000000004"/>
  </r>
  <r>
    <n v="1345"/>
    <x v="130"/>
    <n v="26"/>
    <x v="14"/>
    <s v="789 26th Street"/>
    <s v="Miami"/>
    <x v="9"/>
    <n v="99999"/>
    <s v="USA"/>
    <x v="5"/>
    <x v="3"/>
    <d v="2014-11-28T00:00:00"/>
    <s v="Shipping Company C"/>
    <s v="Run Liu"/>
    <s v="789 26th Street"/>
    <x v="9"/>
    <s v="FL"/>
    <n v="99999"/>
    <x v="0"/>
    <s v="Credit Card"/>
    <x v="8"/>
    <x v="4"/>
    <n v="9.65"/>
    <n v="37"/>
    <x v="263"/>
    <n v="33.919750000000001"/>
  </r>
  <r>
    <n v="1346"/>
    <x v="130"/>
    <n v="26"/>
    <x v="14"/>
    <s v="789 26th Street"/>
    <s v="Miami"/>
    <x v="9"/>
    <n v="99999"/>
    <s v="USA"/>
    <x v="5"/>
    <x v="3"/>
    <d v="2014-11-28T00:00:00"/>
    <s v="Shipping Company C"/>
    <s v="Run Liu"/>
    <s v="789 26th Street"/>
    <x v="9"/>
    <s v="FL"/>
    <n v="99999"/>
    <x v="0"/>
    <s v="Credit Card"/>
    <x v="13"/>
    <x v="8"/>
    <n v="18.399999999999999"/>
    <n v="64"/>
    <x v="107"/>
    <n v="118.93759999999999"/>
  </r>
  <r>
    <n v="1347"/>
    <x v="131"/>
    <n v="29"/>
    <x v="4"/>
    <s v="789 29th Street"/>
    <s v="Denver"/>
    <x v="3"/>
    <n v="99999"/>
    <s v="USA"/>
    <x v="3"/>
    <x v="0"/>
    <d v="2014-12-01T00:00:00"/>
    <s v="Shipping Company B"/>
    <s v="Soo Jung Lee"/>
    <s v="789 29th Street"/>
    <x v="3"/>
    <s v="CO"/>
    <n v="99999"/>
    <x v="0"/>
    <s v="Check"/>
    <x v="0"/>
    <x v="0"/>
    <n v="14"/>
    <n v="38"/>
    <x v="197"/>
    <n v="55.328000000000003"/>
  </r>
  <r>
    <n v="1348"/>
    <x v="127"/>
    <n v="6"/>
    <x v="6"/>
    <s v="123 6th Street"/>
    <s v="Milwaukee"/>
    <x v="5"/>
    <n v="99999"/>
    <s v="USA"/>
    <x v="4"/>
    <x v="2"/>
    <d v="2014-11-08T00:00:00"/>
    <s v="Shipping Company C"/>
    <s v="Francisco Pérez-Olaeta"/>
    <s v="123 6th Street"/>
    <x v="5"/>
    <s v="WI"/>
    <n v="99999"/>
    <x v="0"/>
    <s v="Check"/>
    <x v="7"/>
    <x v="3"/>
    <n v="12.75"/>
    <n v="15"/>
    <x v="264"/>
    <n v="18.55125"/>
  </r>
  <r>
    <n v="1350"/>
    <x v="132"/>
    <n v="4"/>
    <x v="1"/>
    <s v="123 4th Street"/>
    <s v="New York"/>
    <x v="1"/>
    <n v="99999"/>
    <s v="USA"/>
    <x v="1"/>
    <x v="1"/>
    <d v="2014-11-06T00:00:00"/>
    <s v="Shipping Company A"/>
    <s v="Christina Lee"/>
    <s v="123 4th Street"/>
    <x v="1"/>
    <s v="NY"/>
    <n v="99999"/>
    <x v="0"/>
    <s v="Credit Card"/>
    <x v="23"/>
    <x v="6"/>
    <n v="81"/>
    <n v="52"/>
    <x v="265"/>
    <n v="412.77600000000001"/>
  </r>
  <r>
    <n v="1351"/>
    <x v="132"/>
    <n v="4"/>
    <x v="1"/>
    <s v="123 4th Street"/>
    <s v="New York"/>
    <x v="1"/>
    <n v="99999"/>
    <s v="USA"/>
    <x v="1"/>
    <x v="1"/>
    <d v="2014-11-06T00:00:00"/>
    <s v="Shipping Company A"/>
    <s v="Christina Lee"/>
    <s v="123 4th Street"/>
    <x v="1"/>
    <s v="NY"/>
    <n v="99999"/>
    <x v="0"/>
    <s v="Credit Card"/>
    <x v="24"/>
    <x v="14"/>
    <n v="7"/>
    <n v="37"/>
    <x v="58"/>
    <n v="25.382000000000001"/>
  </r>
  <r>
    <n v="1353"/>
    <x v="128"/>
    <n v="8"/>
    <x v="3"/>
    <s v="123 8th Street"/>
    <s v="Portland"/>
    <x v="2"/>
    <n v="99999"/>
    <s v="USA"/>
    <x v="2"/>
    <x v="2"/>
    <d v="2014-11-10T00:00:00"/>
    <s v="Shipping Company C"/>
    <s v="Elizabeth Andersen"/>
    <s v="123 8th Street"/>
    <x v="2"/>
    <s v="OR"/>
    <n v="99999"/>
    <x v="0"/>
    <s v="Credit Card"/>
    <x v="15"/>
    <x v="10"/>
    <n v="34.799999999999997"/>
    <n v="24"/>
    <x v="266"/>
    <n v="80.179199999999994"/>
  </r>
  <r>
    <n v="1356"/>
    <x v="133"/>
    <n v="3"/>
    <x v="5"/>
    <s v="123 3rd Street"/>
    <s v="Los Angelas"/>
    <x v="4"/>
    <n v="99999"/>
    <s v="USA"/>
    <x v="0"/>
    <x v="0"/>
    <d v="2014-11-05T00:00:00"/>
    <s v="Shipping Company B"/>
    <s v="Thomas Axerr"/>
    <s v="123 3rd Street"/>
    <x v="4"/>
    <s v="CA"/>
    <n v="99999"/>
    <x v="0"/>
    <s v="Cash"/>
    <x v="16"/>
    <x v="7"/>
    <n v="10"/>
    <n v="36"/>
    <x v="267"/>
    <n v="37.08"/>
  </r>
  <r>
    <n v="1357"/>
    <x v="133"/>
    <n v="3"/>
    <x v="5"/>
    <s v="123 3rd Street"/>
    <s v="Los Angelas"/>
    <x v="4"/>
    <n v="99999"/>
    <s v="USA"/>
    <x v="0"/>
    <x v="0"/>
    <d v="2014-11-05T00:00:00"/>
    <s v="Shipping Company B"/>
    <s v="Thomas Axerr"/>
    <s v="123 3rd Street"/>
    <x v="4"/>
    <s v="CA"/>
    <n v="99999"/>
    <x v="0"/>
    <s v="Cash"/>
    <x v="9"/>
    <x v="5"/>
    <n v="40"/>
    <n v="24"/>
    <x v="268"/>
    <n v="96"/>
  </r>
  <r>
    <n v="1361"/>
    <x v="122"/>
    <n v="10"/>
    <x v="8"/>
    <s v="123 10th Street"/>
    <s v="Chicago"/>
    <x v="7"/>
    <n v="99999"/>
    <s v="USA"/>
    <x v="6"/>
    <x v="1"/>
    <d v="2014-11-12T00:00:00"/>
    <s v="Shipping Company B"/>
    <s v="Roland Wacker"/>
    <s v="123 10th Street"/>
    <x v="7"/>
    <s v="IL"/>
    <n v="99999"/>
    <x v="0"/>
    <s v="Credit Card"/>
    <x v="18"/>
    <x v="1"/>
    <n v="10"/>
    <n v="20"/>
    <x v="269"/>
    <n v="20"/>
  </r>
  <r>
    <n v="1363"/>
    <x v="122"/>
    <n v="10"/>
    <x v="8"/>
    <s v="123 10th Street"/>
    <s v="Chicago"/>
    <x v="7"/>
    <n v="99999"/>
    <s v="USA"/>
    <x v="6"/>
    <x v="1"/>
    <m/>
    <s v="Shipping Company A"/>
    <s v="Roland Wacker"/>
    <s v="123 10th Street"/>
    <x v="7"/>
    <s v="IL"/>
    <n v="99999"/>
    <x v="0"/>
    <m/>
    <x v="1"/>
    <x v="1"/>
    <n v="3.5"/>
    <n v="11"/>
    <x v="4"/>
    <n v="3.7345000000000002"/>
  </r>
  <r>
    <n v="1364"/>
    <x v="123"/>
    <n v="11"/>
    <x v="10"/>
    <s v="123 11th Street"/>
    <s v="Miami"/>
    <x v="9"/>
    <n v="99999"/>
    <s v="USA"/>
    <x v="5"/>
    <x v="3"/>
    <m/>
    <s v="Shipping Company C"/>
    <s v="Peter Krschne"/>
    <s v="123 11th Street"/>
    <x v="9"/>
    <s v="FL"/>
    <n v="99999"/>
    <x v="0"/>
    <m/>
    <x v="9"/>
    <x v="5"/>
    <n v="40"/>
    <n v="78"/>
    <x v="189"/>
    <n v="299.52"/>
  </r>
  <r>
    <n v="1365"/>
    <x v="124"/>
    <n v="1"/>
    <x v="11"/>
    <s v="123 1st Street"/>
    <s v="Seattle"/>
    <x v="10"/>
    <n v="99999"/>
    <s v="USA"/>
    <x v="2"/>
    <x v="2"/>
    <m/>
    <s v="Shipping Company C"/>
    <s v="Anna Bedecs"/>
    <s v="123 1st Street"/>
    <x v="10"/>
    <s v="WA"/>
    <n v="99999"/>
    <x v="0"/>
    <m/>
    <x v="13"/>
    <x v="8"/>
    <n v="18.399999999999999"/>
    <n v="76"/>
    <x v="270"/>
    <n v="144.0352"/>
  </r>
  <r>
    <n v="1366"/>
    <x v="125"/>
    <n v="28"/>
    <x v="7"/>
    <s v="789 28th Street"/>
    <s v="Memphis"/>
    <x v="6"/>
    <n v="99999"/>
    <s v="USA"/>
    <x v="5"/>
    <x v="3"/>
    <d v="2014-11-30T00:00:00"/>
    <s v="Shipping Company C"/>
    <s v="Amritansh Raghav"/>
    <s v="789 28th Street"/>
    <x v="6"/>
    <s v="TN"/>
    <n v="99999"/>
    <x v="0"/>
    <s v="Credit Card"/>
    <x v="5"/>
    <x v="0"/>
    <n v="46"/>
    <n v="57"/>
    <x v="271"/>
    <n v="272.68799999999999"/>
  </r>
  <r>
    <n v="1367"/>
    <x v="126"/>
    <n v="9"/>
    <x v="12"/>
    <s v="123 9th Street"/>
    <s v="Salt Lake City"/>
    <x v="11"/>
    <n v="99999"/>
    <s v="USA"/>
    <x v="7"/>
    <x v="0"/>
    <d v="2014-11-11T00:00:00"/>
    <s v="Shipping Company A"/>
    <s v="Sven Mortensen"/>
    <s v="123 9th Street"/>
    <x v="11"/>
    <s v="UT"/>
    <n v="99999"/>
    <x v="0"/>
    <s v="Check"/>
    <x v="8"/>
    <x v="4"/>
    <n v="9.65"/>
    <n v="14"/>
    <x v="272"/>
    <n v="12.9696"/>
  </r>
  <r>
    <n v="1368"/>
    <x v="134"/>
    <n v="27"/>
    <x v="0"/>
    <s v="789 27th Street"/>
    <s v="Las Vegas"/>
    <x v="0"/>
    <n v="99999"/>
    <s v="USA"/>
    <x v="0"/>
    <x v="0"/>
    <d v="2014-12-29T00:00:00"/>
    <s v="Shipping Company B"/>
    <s v="Karen Toh"/>
    <s v="789 27th Street"/>
    <x v="0"/>
    <s v="NV"/>
    <n v="99999"/>
    <x v="0"/>
    <s v="Check"/>
    <x v="0"/>
    <x v="0"/>
    <n v="14"/>
    <n v="14"/>
    <x v="273"/>
    <n v="19.796000000000003"/>
  </r>
  <r>
    <n v="1369"/>
    <x v="134"/>
    <n v="27"/>
    <x v="0"/>
    <s v="789 27th Street"/>
    <s v="Las Vegas"/>
    <x v="0"/>
    <n v="99999"/>
    <s v="USA"/>
    <x v="0"/>
    <x v="0"/>
    <d v="2014-12-29T00:00:00"/>
    <s v="Shipping Company B"/>
    <s v="Karen Toh"/>
    <s v="789 27th Street"/>
    <x v="0"/>
    <s v="NV"/>
    <n v="99999"/>
    <x v="0"/>
    <s v="Check"/>
    <x v="1"/>
    <x v="1"/>
    <n v="3.5"/>
    <n v="70"/>
    <x v="274"/>
    <n v="25.234999999999999"/>
  </r>
  <r>
    <n v="1370"/>
    <x v="135"/>
    <n v="4"/>
    <x v="1"/>
    <s v="123 4th Street"/>
    <s v="New York"/>
    <x v="1"/>
    <n v="99999"/>
    <s v="USA"/>
    <x v="1"/>
    <x v="1"/>
    <d v="2014-12-06T00:00:00"/>
    <s v="Shipping Company A"/>
    <s v="Christina Lee"/>
    <s v="123 4th Street"/>
    <x v="1"/>
    <s v="NY"/>
    <n v="99999"/>
    <x v="0"/>
    <s v="Credit Card"/>
    <x v="2"/>
    <x v="1"/>
    <n v="30"/>
    <n v="100"/>
    <x v="275"/>
    <n v="291"/>
  </r>
  <r>
    <n v="1371"/>
    <x v="135"/>
    <n v="4"/>
    <x v="1"/>
    <s v="123 4th Street"/>
    <s v="New York"/>
    <x v="1"/>
    <n v="99999"/>
    <s v="USA"/>
    <x v="1"/>
    <x v="1"/>
    <d v="2014-12-06T00:00:00"/>
    <s v="Shipping Company A"/>
    <s v="Christina Lee"/>
    <s v="123 4th Street"/>
    <x v="1"/>
    <s v="NY"/>
    <n v="99999"/>
    <x v="0"/>
    <s v="Credit Card"/>
    <x v="3"/>
    <x v="1"/>
    <n v="53"/>
    <n v="27"/>
    <x v="276"/>
    <n v="143.1"/>
  </r>
  <r>
    <n v="1372"/>
    <x v="135"/>
    <n v="4"/>
    <x v="1"/>
    <s v="123 4th Street"/>
    <s v="New York"/>
    <x v="1"/>
    <n v="99999"/>
    <s v="USA"/>
    <x v="1"/>
    <x v="1"/>
    <d v="2014-12-06T00:00:00"/>
    <s v="Shipping Company A"/>
    <s v="Christina Lee"/>
    <s v="123 4th Street"/>
    <x v="1"/>
    <s v="NY"/>
    <n v="99999"/>
    <x v="0"/>
    <s v="Credit Card"/>
    <x v="1"/>
    <x v="1"/>
    <n v="3.5"/>
    <n v="70"/>
    <x v="274"/>
    <n v="24.009999999999998"/>
  </r>
  <r>
    <n v="1373"/>
    <x v="136"/>
    <n v="12"/>
    <x v="2"/>
    <s v="123 12th Street"/>
    <s v="Las Vegas"/>
    <x v="0"/>
    <n v="99999"/>
    <s v="USA"/>
    <x v="0"/>
    <x v="0"/>
    <d v="2014-12-14T00:00:00"/>
    <s v="Shipping Company B"/>
    <s v="John Edwards"/>
    <s v="123 12th Street"/>
    <x v="0"/>
    <s v="NV"/>
    <n v="99999"/>
    <x v="0"/>
    <s v="Credit Card"/>
    <x v="4"/>
    <x v="0"/>
    <n v="18"/>
    <n v="57"/>
    <x v="277"/>
    <n v="102.60000000000001"/>
  </r>
  <r>
    <n v="1374"/>
    <x v="136"/>
    <n v="12"/>
    <x v="2"/>
    <s v="123 12th Street"/>
    <s v="Las Vegas"/>
    <x v="0"/>
    <n v="99999"/>
    <s v="USA"/>
    <x v="0"/>
    <x v="0"/>
    <d v="2014-12-14T00:00:00"/>
    <s v="Shipping Company B"/>
    <s v="John Edwards"/>
    <s v="123 12th Street"/>
    <x v="0"/>
    <s v="NV"/>
    <n v="99999"/>
    <x v="0"/>
    <s v="Credit Card"/>
    <x v="5"/>
    <x v="0"/>
    <n v="46"/>
    <n v="83"/>
    <x v="278"/>
    <n v="374.16399999999999"/>
  </r>
  <r>
    <n v="1375"/>
    <x v="137"/>
    <n v="8"/>
    <x v="3"/>
    <s v="123 8th Street"/>
    <s v="Portland"/>
    <x v="2"/>
    <n v="99999"/>
    <s v="USA"/>
    <x v="2"/>
    <x v="2"/>
    <d v="2014-12-10T00:00:00"/>
    <s v="Shipping Company C"/>
    <s v="Elizabeth Andersen"/>
    <s v="123 8th Street"/>
    <x v="2"/>
    <s v="OR"/>
    <n v="99999"/>
    <x v="0"/>
    <s v="Credit Card"/>
    <x v="6"/>
    <x v="2"/>
    <n v="9.1999999999999993"/>
    <n v="76"/>
    <x v="279"/>
    <n v="67.123199999999997"/>
  </r>
  <r>
    <n v="1376"/>
    <x v="135"/>
    <n v="4"/>
    <x v="1"/>
    <s v="123 4th Street"/>
    <s v="New York"/>
    <x v="1"/>
    <n v="99999"/>
    <s v="USA"/>
    <x v="1"/>
    <x v="1"/>
    <n v="41979"/>
    <s v="Shipping Company C"/>
    <s v="Christina Lee"/>
    <s v="123 4th Street"/>
    <x v="1"/>
    <s v="NY"/>
    <n v="99999"/>
    <x v="0"/>
    <s v="Check"/>
    <x v="6"/>
    <x v="2"/>
    <n v="9.1999999999999993"/>
    <n v="80"/>
    <x v="129"/>
    <n v="72.864000000000004"/>
  </r>
  <r>
    <n v="1377"/>
    <x v="138"/>
    <n v="29"/>
    <x v="4"/>
    <s v="789 29th Street"/>
    <s v="Denver"/>
    <x v="3"/>
    <n v="99999"/>
    <s v="USA"/>
    <x v="3"/>
    <x v="0"/>
    <n v="42004"/>
    <s v="Shipping Company B"/>
    <s v="Soo Jung Lee"/>
    <s v="789 29th Street"/>
    <x v="3"/>
    <s v="CO"/>
    <n v="99999"/>
    <x v="0"/>
    <s v="Check"/>
    <x v="7"/>
    <x v="3"/>
    <n v="12.75"/>
    <n v="47"/>
    <x v="13"/>
    <n v="59.325750000000006"/>
  </r>
  <r>
    <n v="1378"/>
    <x v="139"/>
    <n v="3"/>
    <x v="5"/>
    <s v="123 3rd Street"/>
    <s v="Los Angelas"/>
    <x v="4"/>
    <n v="99999"/>
    <s v="USA"/>
    <x v="0"/>
    <x v="0"/>
    <n v="41978"/>
    <s v="Shipping Company B"/>
    <s v="Thomas Axerr"/>
    <s v="123 3rd Street"/>
    <x v="4"/>
    <s v="CA"/>
    <n v="99999"/>
    <x v="0"/>
    <s v="Cash"/>
    <x v="8"/>
    <x v="4"/>
    <n v="9.65"/>
    <n v="96"/>
    <x v="280"/>
    <n v="94.492800000000017"/>
  </r>
  <r>
    <n v="1379"/>
    <x v="140"/>
    <n v="6"/>
    <x v="6"/>
    <s v="123 6th Street"/>
    <s v="Milwaukee"/>
    <x v="5"/>
    <n v="99999"/>
    <s v="USA"/>
    <x v="4"/>
    <x v="2"/>
    <n v="41981"/>
    <s v="Shipping Company B"/>
    <s v="Francisco Pérez-Olaeta"/>
    <s v="123 6th Street"/>
    <x v="5"/>
    <s v="WI"/>
    <n v="99999"/>
    <x v="0"/>
    <s v="Credit Card"/>
    <x v="9"/>
    <x v="5"/>
    <n v="40"/>
    <n v="32"/>
    <x v="11"/>
    <n v="134.4"/>
  </r>
  <r>
    <n v="1380"/>
    <x v="141"/>
    <n v="28"/>
    <x v="7"/>
    <s v="789 28th Street"/>
    <s v="Memphis"/>
    <x v="6"/>
    <n v="99999"/>
    <s v="USA"/>
    <x v="5"/>
    <x v="3"/>
    <d v="2014-12-30T00:00:00"/>
    <s v="Shipping Company C"/>
    <s v="Amritansh Raghav"/>
    <s v="789 28th Street"/>
    <x v="6"/>
    <s v="TN"/>
    <n v="99999"/>
    <x v="0"/>
    <s v="Check"/>
    <x v="5"/>
    <x v="0"/>
    <n v="46"/>
    <n v="16"/>
    <x v="129"/>
    <n v="73.600000000000009"/>
  </r>
  <r>
    <n v="1381"/>
    <x v="137"/>
    <n v="8"/>
    <x v="3"/>
    <s v="123 8th Street"/>
    <s v="Portland"/>
    <x v="2"/>
    <n v="99999"/>
    <s v="USA"/>
    <x v="2"/>
    <x v="2"/>
    <d v="2014-12-10T00:00:00"/>
    <s v="Shipping Company C"/>
    <s v="Elizabeth Andersen"/>
    <s v="123 8th Street"/>
    <x v="2"/>
    <s v="OR"/>
    <n v="99999"/>
    <x v="0"/>
    <s v="Check"/>
    <x v="7"/>
    <x v="3"/>
    <n v="12.75"/>
    <n v="41"/>
    <x v="87"/>
    <n v="51.229500000000002"/>
  </r>
  <r>
    <n v="1382"/>
    <x v="142"/>
    <n v="10"/>
    <x v="8"/>
    <s v="123 10th Street"/>
    <s v="Chicago"/>
    <x v="7"/>
    <n v="99999"/>
    <s v="USA"/>
    <x v="6"/>
    <x v="1"/>
    <d v="2014-12-12T00:00:00"/>
    <s v="Shipping Company B"/>
    <s v="Roland Wacker"/>
    <s v="123 10th Street"/>
    <x v="7"/>
    <s v="IL"/>
    <n v="99999"/>
    <x v="0"/>
    <s v="Credit Card"/>
    <x v="10"/>
    <x v="0"/>
    <n v="2.99"/>
    <n v="41"/>
    <x v="281"/>
    <n v="12.871950000000002"/>
  </r>
  <r>
    <n v="1383"/>
    <x v="143"/>
    <n v="7"/>
    <x v="9"/>
    <s v="123 7th Street"/>
    <s v="Boise"/>
    <x v="8"/>
    <n v="99999"/>
    <s v="USA"/>
    <x v="2"/>
    <x v="2"/>
    <m/>
    <m/>
    <s v="Ming-Yang Xie"/>
    <s v="123 7th Street"/>
    <x v="8"/>
    <s v="ID"/>
    <n v="99999"/>
    <x v="0"/>
    <m/>
    <x v="5"/>
    <x v="0"/>
    <n v="46"/>
    <n v="41"/>
    <x v="282"/>
    <n v="194.25800000000004"/>
  </r>
  <r>
    <n v="1384"/>
    <x v="142"/>
    <n v="10"/>
    <x v="8"/>
    <s v="123 10th Street"/>
    <s v="Chicago"/>
    <x v="7"/>
    <n v="99999"/>
    <s v="USA"/>
    <x v="6"/>
    <x v="1"/>
    <d v="2014-12-12T00:00:00"/>
    <s v="Shipping Company A"/>
    <s v="Roland Wacker"/>
    <s v="123 10th Street"/>
    <x v="7"/>
    <s v="IL"/>
    <n v="99999"/>
    <x v="0"/>
    <m/>
    <x v="11"/>
    <x v="6"/>
    <n v="25"/>
    <n v="94"/>
    <x v="283"/>
    <n v="235"/>
  </r>
  <r>
    <n v="1385"/>
    <x v="142"/>
    <n v="10"/>
    <x v="8"/>
    <s v="123 10th Street"/>
    <s v="Chicago"/>
    <x v="7"/>
    <n v="99999"/>
    <s v="USA"/>
    <x v="6"/>
    <x v="1"/>
    <d v="2014-12-12T00:00:00"/>
    <s v="Shipping Company A"/>
    <s v="Roland Wacker"/>
    <s v="123 10th Street"/>
    <x v="7"/>
    <s v="IL"/>
    <n v="99999"/>
    <x v="0"/>
    <m/>
    <x v="12"/>
    <x v="7"/>
    <n v="22"/>
    <n v="20"/>
    <x v="284"/>
    <n v="46.2"/>
  </r>
  <r>
    <n v="1386"/>
    <x v="142"/>
    <n v="10"/>
    <x v="8"/>
    <s v="123 10th Street"/>
    <s v="Chicago"/>
    <x v="7"/>
    <n v="99999"/>
    <s v="USA"/>
    <x v="6"/>
    <x v="1"/>
    <n v="41985"/>
    <s v="Shipping Company A"/>
    <s v="Roland Wacker"/>
    <s v="123 10th Street"/>
    <x v="7"/>
    <s v="IL"/>
    <n v="99999"/>
    <x v="0"/>
    <m/>
    <x v="6"/>
    <x v="2"/>
    <n v="9.1999999999999993"/>
    <n v="13"/>
    <x v="285"/>
    <n v="12.438400000000001"/>
  </r>
  <r>
    <n v="1387"/>
    <x v="144"/>
    <n v="11"/>
    <x v="10"/>
    <s v="123 11th Street"/>
    <s v="Miami"/>
    <x v="9"/>
    <n v="99999"/>
    <s v="USA"/>
    <x v="5"/>
    <x v="3"/>
    <m/>
    <s v="Shipping Company C"/>
    <s v="Peter Krschne"/>
    <s v="123 11th Street"/>
    <x v="9"/>
    <s v="FL"/>
    <n v="99999"/>
    <x v="0"/>
    <m/>
    <x v="1"/>
    <x v="1"/>
    <n v="3.5"/>
    <n v="74"/>
    <x v="58"/>
    <n v="26.936000000000003"/>
  </r>
  <r>
    <n v="1388"/>
    <x v="144"/>
    <n v="11"/>
    <x v="10"/>
    <s v="123 11th Street"/>
    <s v="Miami"/>
    <x v="9"/>
    <n v="99999"/>
    <s v="USA"/>
    <x v="5"/>
    <x v="3"/>
    <m/>
    <s v="Shipping Company C"/>
    <s v="Peter Krschne"/>
    <s v="123 11th Street"/>
    <x v="9"/>
    <s v="FL"/>
    <n v="99999"/>
    <x v="0"/>
    <m/>
    <x v="10"/>
    <x v="0"/>
    <n v="2.99"/>
    <n v="53"/>
    <x v="286"/>
    <n v="16.005470000000003"/>
  </r>
  <r>
    <n v="1389"/>
    <x v="145"/>
    <n v="1"/>
    <x v="11"/>
    <s v="123 1st Street"/>
    <s v="Seattle"/>
    <x v="10"/>
    <n v="99999"/>
    <s v="USA"/>
    <x v="2"/>
    <x v="2"/>
    <m/>
    <m/>
    <s v="Anna Bedecs"/>
    <s v="123 1st Street"/>
    <x v="10"/>
    <s v="WA"/>
    <n v="99999"/>
    <x v="0"/>
    <m/>
    <x v="4"/>
    <x v="0"/>
    <n v="18"/>
    <n v="99"/>
    <x v="287"/>
    <n v="174.63600000000002"/>
  </r>
  <r>
    <n v="1390"/>
    <x v="145"/>
    <n v="1"/>
    <x v="11"/>
    <s v="123 1st Street"/>
    <s v="Seattle"/>
    <x v="10"/>
    <n v="99999"/>
    <s v="USA"/>
    <x v="2"/>
    <x v="2"/>
    <m/>
    <m/>
    <s v="Anna Bedecs"/>
    <s v="123 1st Street"/>
    <x v="10"/>
    <s v="WA"/>
    <n v="99999"/>
    <x v="0"/>
    <m/>
    <x v="5"/>
    <x v="0"/>
    <n v="46"/>
    <n v="89"/>
    <x v="288"/>
    <n v="388.93"/>
  </r>
  <r>
    <n v="1391"/>
    <x v="145"/>
    <n v="1"/>
    <x v="11"/>
    <s v="123 1st Street"/>
    <s v="Seattle"/>
    <x v="10"/>
    <n v="99999"/>
    <s v="USA"/>
    <x v="2"/>
    <x v="2"/>
    <m/>
    <m/>
    <s v="Anna Bedecs"/>
    <s v="123 1st Street"/>
    <x v="10"/>
    <s v="WA"/>
    <n v="99999"/>
    <x v="0"/>
    <m/>
    <x v="10"/>
    <x v="0"/>
    <n v="2.99"/>
    <n v="64"/>
    <x v="200"/>
    <n v="19.518720000000002"/>
  </r>
  <r>
    <n v="1392"/>
    <x v="141"/>
    <n v="28"/>
    <x v="7"/>
    <s v="789 28th Street"/>
    <s v="Memphis"/>
    <x v="6"/>
    <n v="99999"/>
    <s v="USA"/>
    <x v="5"/>
    <x v="3"/>
    <d v="2014-12-30T00:00:00"/>
    <s v="Shipping Company C"/>
    <s v="Amritansh Raghav"/>
    <s v="789 28th Street"/>
    <x v="6"/>
    <s v="TN"/>
    <n v="99999"/>
    <x v="0"/>
    <s v="Credit Card"/>
    <x v="8"/>
    <x v="4"/>
    <n v="9.65"/>
    <n v="98"/>
    <x v="289"/>
    <n v="96.461400000000012"/>
  </r>
  <r>
    <n v="1393"/>
    <x v="141"/>
    <n v="28"/>
    <x v="7"/>
    <s v="789 28th Street"/>
    <s v="Memphis"/>
    <x v="6"/>
    <n v="99999"/>
    <s v="USA"/>
    <x v="5"/>
    <x v="3"/>
    <d v="2014-12-30T00:00:00"/>
    <s v="Shipping Company C"/>
    <s v="Amritansh Raghav"/>
    <s v="789 28th Street"/>
    <x v="6"/>
    <s v="TN"/>
    <n v="99999"/>
    <x v="0"/>
    <s v="Credit Card"/>
    <x v="13"/>
    <x v="8"/>
    <n v="18.399999999999999"/>
    <n v="86"/>
    <x v="290"/>
    <n v="155.0752"/>
  </r>
  <r>
    <n v="1394"/>
    <x v="146"/>
    <n v="9"/>
    <x v="12"/>
    <s v="123 9th Street"/>
    <s v="Salt Lake City"/>
    <x v="11"/>
    <n v="99999"/>
    <s v="USA"/>
    <x v="7"/>
    <x v="0"/>
    <d v="2014-12-11T00:00:00"/>
    <s v="Shipping Company A"/>
    <s v="Sven Mortensen"/>
    <s v="123 9th Street"/>
    <x v="11"/>
    <s v="UT"/>
    <n v="99999"/>
    <x v="0"/>
    <s v="Check"/>
    <x v="14"/>
    <x v="9"/>
    <n v="19.5"/>
    <n v="20"/>
    <x v="291"/>
    <n v="40.950000000000003"/>
  </r>
  <r>
    <n v="1395"/>
    <x v="146"/>
    <n v="9"/>
    <x v="12"/>
    <s v="123 9th Street"/>
    <s v="Salt Lake City"/>
    <x v="11"/>
    <n v="99999"/>
    <s v="USA"/>
    <x v="7"/>
    <x v="0"/>
    <d v="2014-12-11T00:00:00"/>
    <s v="Shipping Company A"/>
    <s v="Sven Mortensen"/>
    <s v="123 9th Street"/>
    <x v="11"/>
    <s v="UT"/>
    <n v="99999"/>
    <x v="0"/>
    <s v="Check"/>
    <x v="15"/>
    <x v="10"/>
    <n v="34.799999999999997"/>
    <n v="69"/>
    <x v="292"/>
    <n v="240.12"/>
  </r>
  <r>
    <n v="1396"/>
    <x v="140"/>
    <n v="6"/>
    <x v="6"/>
    <s v="123 6th Street"/>
    <s v="Milwaukee"/>
    <x v="5"/>
    <n v="99999"/>
    <s v="USA"/>
    <x v="4"/>
    <x v="2"/>
    <d v="2014-12-08T00:00:00"/>
    <s v="Shipping Company B"/>
    <s v="Francisco Pérez-Olaeta"/>
    <s v="123 6th Street"/>
    <x v="5"/>
    <s v="WI"/>
    <n v="99999"/>
    <x v="0"/>
    <s v="Credit Card"/>
    <x v="0"/>
    <x v="0"/>
    <n v="14"/>
    <n v="68"/>
    <x v="293"/>
    <n v="91.391999999999996"/>
  </r>
  <r>
    <n v="1397"/>
    <x v="137"/>
    <n v="8"/>
    <x v="3"/>
    <s v="123 8th Street"/>
    <s v="Portland"/>
    <x v="2"/>
    <n v="99999"/>
    <s v="USA"/>
    <x v="2"/>
    <x v="2"/>
    <d v="2014-12-10T00:00:00"/>
    <s v="Shipping Company B"/>
    <s v="Elizabeth Andersen"/>
    <s v="123 8th Street"/>
    <x v="2"/>
    <s v="OR"/>
    <n v="99999"/>
    <x v="0"/>
    <s v="Check"/>
    <x v="9"/>
    <x v="5"/>
    <n v="40"/>
    <n v="52"/>
    <x v="294"/>
    <n v="203.84"/>
  </r>
  <r>
    <n v="1398"/>
    <x v="137"/>
    <n v="8"/>
    <x v="3"/>
    <s v="123 8th Street"/>
    <s v="Portland"/>
    <x v="2"/>
    <n v="99999"/>
    <s v="USA"/>
    <x v="2"/>
    <x v="2"/>
    <d v="2014-12-10T00:00:00"/>
    <s v="Shipping Company B"/>
    <s v="Elizabeth Andersen"/>
    <s v="123 8th Street"/>
    <x v="2"/>
    <s v="OR"/>
    <n v="99999"/>
    <x v="0"/>
    <s v="Check"/>
    <x v="6"/>
    <x v="2"/>
    <n v="9.1999999999999993"/>
    <n v="40"/>
    <x v="295"/>
    <n v="38.640000000000008"/>
  </r>
  <r>
    <n v="1399"/>
    <x v="147"/>
    <n v="25"/>
    <x v="13"/>
    <s v="789 25th Street"/>
    <s v="Chicago"/>
    <x v="7"/>
    <n v="99999"/>
    <s v="USA"/>
    <x v="6"/>
    <x v="1"/>
    <d v="2014-12-27T00:00:00"/>
    <s v="Shipping Company A"/>
    <s v="John Rodman"/>
    <s v="789 25th Street"/>
    <x v="7"/>
    <s v="IL"/>
    <n v="99999"/>
    <x v="0"/>
    <s v="Cash"/>
    <x v="21"/>
    <x v="2"/>
    <n v="10"/>
    <n v="100"/>
    <x v="116"/>
    <n v="98"/>
  </r>
  <r>
    <n v="1400"/>
    <x v="148"/>
    <n v="26"/>
    <x v="14"/>
    <s v="789 26th Street"/>
    <s v="Miami"/>
    <x v="9"/>
    <n v="99999"/>
    <s v="USA"/>
    <x v="5"/>
    <x v="3"/>
    <d v="2014-12-28T00:00:00"/>
    <s v="Shipping Company C"/>
    <s v="Run Liu"/>
    <s v="789 26th Street"/>
    <x v="9"/>
    <s v="FL"/>
    <n v="99999"/>
    <x v="0"/>
    <s v="Credit Card"/>
    <x v="22"/>
    <x v="13"/>
    <n v="21.35"/>
    <n v="88"/>
    <x v="296"/>
    <n v="184.12240000000003"/>
  </r>
  <r>
    <n v="1401"/>
    <x v="148"/>
    <n v="26"/>
    <x v="14"/>
    <s v="789 26th Street"/>
    <s v="Miami"/>
    <x v="9"/>
    <n v="99999"/>
    <s v="USA"/>
    <x v="5"/>
    <x v="3"/>
    <d v="2014-12-28T00:00:00"/>
    <s v="Shipping Company C"/>
    <s v="Run Liu"/>
    <s v="789 26th Street"/>
    <x v="9"/>
    <s v="FL"/>
    <n v="99999"/>
    <x v="0"/>
    <s v="Credit Card"/>
    <x v="8"/>
    <x v="4"/>
    <n v="9.65"/>
    <n v="46"/>
    <x v="256"/>
    <n v="42.614400000000003"/>
  </r>
  <r>
    <n v="1402"/>
    <x v="148"/>
    <n v="26"/>
    <x v="14"/>
    <s v="789 26th Street"/>
    <s v="Miami"/>
    <x v="9"/>
    <n v="99999"/>
    <s v="USA"/>
    <x v="5"/>
    <x v="3"/>
    <d v="2014-12-28T00:00:00"/>
    <s v="Shipping Company C"/>
    <s v="Run Liu"/>
    <s v="789 26th Street"/>
    <x v="9"/>
    <s v="FL"/>
    <n v="99999"/>
    <x v="0"/>
    <s v="Credit Card"/>
    <x v="13"/>
    <x v="8"/>
    <n v="18.399999999999999"/>
    <n v="93"/>
    <x v="297"/>
    <n v="167.69759999999999"/>
  </r>
  <r>
    <n v="1403"/>
    <x v="138"/>
    <n v="29"/>
    <x v="4"/>
    <s v="789 29th Street"/>
    <s v="Denver"/>
    <x v="3"/>
    <n v="99999"/>
    <s v="USA"/>
    <x v="3"/>
    <x v="0"/>
    <d v="2014-12-31T00:00:00"/>
    <s v="Shipping Company B"/>
    <s v="Soo Jung Lee"/>
    <s v="789 29th Street"/>
    <x v="3"/>
    <s v="CO"/>
    <n v="99999"/>
    <x v="0"/>
    <s v="Check"/>
    <x v="0"/>
    <x v="0"/>
    <n v="14"/>
    <n v="96"/>
    <x v="298"/>
    <n v="141.12"/>
  </r>
  <r>
    <n v="1404"/>
    <x v="140"/>
    <n v="6"/>
    <x v="6"/>
    <s v="123 6th Street"/>
    <s v="Milwaukee"/>
    <x v="5"/>
    <n v="99999"/>
    <s v="USA"/>
    <x v="4"/>
    <x v="2"/>
    <d v="2014-12-08T00:00:00"/>
    <s v="Shipping Company C"/>
    <s v="Francisco Pérez-Olaeta"/>
    <s v="123 6th Street"/>
    <x v="5"/>
    <s v="WI"/>
    <n v="99999"/>
    <x v="0"/>
    <s v="Check"/>
    <x v="7"/>
    <x v="3"/>
    <n v="12.75"/>
    <n v="12"/>
    <x v="299"/>
    <n v="16.065000000000001"/>
  </r>
  <r>
    <n v="1406"/>
    <x v="135"/>
    <n v="4"/>
    <x v="1"/>
    <s v="123 4th Street"/>
    <s v="New York"/>
    <x v="1"/>
    <n v="99999"/>
    <s v="USA"/>
    <x v="1"/>
    <x v="1"/>
    <d v="2014-12-06T00:00:00"/>
    <s v="Shipping Company A"/>
    <s v="Christina Lee"/>
    <s v="123 4th Street"/>
    <x v="1"/>
    <s v="NY"/>
    <n v="99999"/>
    <x v="0"/>
    <s v="Credit Card"/>
    <x v="23"/>
    <x v="6"/>
    <n v="81"/>
    <n v="38"/>
    <x v="300"/>
    <n v="292.41000000000003"/>
  </r>
  <r>
    <n v="1407"/>
    <x v="135"/>
    <n v="4"/>
    <x v="1"/>
    <s v="123 4th Street"/>
    <s v="New York"/>
    <x v="1"/>
    <n v="99999"/>
    <s v="USA"/>
    <x v="1"/>
    <x v="1"/>
    <d v="2014-12-06T00:00:00"/>
    <s v="Shipping Company A"/>
    <s v="Christina Lee"/>
    <s v="123 4th Street"/>
    <x v="1"/>
    <s v="NY"/>
    <n v="99999"/>
    <x v="0"/>
    <s v="Credit Card"/>
    <x v="24"/>
    <x v="14"/>
    <n v="7"/>
    <n v="42"/>
    <x v="108"/>
    <n v="29.106000000000002"/>
  </r>
  <r>
    <n v="1409"/>
    <x v="137"/>
    <n v="8"/>
    <x v="3"/>
    <s v="123 8th Street"/>
    <s v="Portland"/>
    <x v="2"/>
    <n v="99999"/>
    <s v="USA"/>
    <x v="2"/>
    <x v="2"/>
    <d v="2014-12-10T00:00:00"/>
    <s v="Shipping Company C"/>
    <s v="Elizabeth Andersen"/>
    <s v="123 8th Street"/>
    <x v="2"/>
    <s v="OR"/>
    <n v="99999"/>
    <x v="0"/>
    <s v="Credit Card"/>
    <x v="15"/>
    <x v="10"/>
    <n v="34.799999999999997"/>
    <n v="100"/>
    <x v="301"/>
    <n v="344.52"/>
  </r>
  <r>
    <n v="1412"/>
    <x v="139"/>
    <n v="3"/>
    <x v="5"/>
    <s v="123 3rd Street"/>
    <s v="Los Angelas"/>
    <x v="4"/>
    <n v="99999"/>
    <s v="USA"/>
    <x v="0"/>
    <x v="0"/>
    <d v="2014-12-05T00:00:00"/>
    <s v="Shipping Company B"/>
    <s v="Thomas Axerr"/>
    <s v="123 3rd Street"/>
    <x v="4"/>
    <s v="CA"/>
    <n v="99999"/>
    <x v="0"/>
    <s v="Cash"/>
    <x v="16"/>
    <x v="7"/>
    <n v="10"/>
    <n v="89"/>
    <x v="302"/>
    <n v="87.22"/>
  </r>
  <r>
    <n v="1413"/>
    <x v="139"/>
    <n v="3"/>
    <x v="5"/>
    <s v="123 3rd Street"/>
    <s v="Los Angelas"/>
    <x v="4"/>
    <n v="99999"/>
    <s v="USA"/>
    <x v="0"/>
    <x v="0"/>
    <d v="2014-12-05T00:00:00"/>
    <s v="Shipping Company B"/>
    <s v="Thomas Axerr"/>
    <s v="123 3rd Street"/>
    <x v="4"/>
    <s v="CA"/>
    <n v="99999"/>
    <x v="0"/>
    <s v="Cash"/>
    <x v="9"/>
    <x v="5"/>
    <n v="40"/>
    <n v="12"/>
    <x v="60"/>
    <n v="46.56"/>
  </r>
  <r>
    <n v="1417"/>
    <x v="142"/>
    <n v="10"/>
    <x v="8"/>
    <s v="123 10th Street"/>
    <s v="Chicago"/>
    <x v="7"/>
    <n v="99999"/>
    <s v="USA"/>
    <x v="6"/>
    <x v="1"/>
    <d v="2014-12-12T00:00:00"/>
    <s v="Shipping Company B"/>
    <s v="Roland Wacker"/>
    <s v="123 10th Street"/>
    <x v="7"/>
    <s v="IL"/>
    <n v="99999"/>
    <x v="0"/>
    <s v="Credit Card"/>
    <x v="18"/>
    <x v="1"/>
    <n v="10"/>
    <n v="97"/>
    <x v="303"/>
    <n v="100.88000000000001"/>
  </r>
  <r>
    <n v="1419"/>
    <x v="142"/>
    <n v="10"/>
    <x v="8"/>
    <s v="123 10th Street"/>
    <s v="Chicago"/>
    <x v="7"/>
    <n v="99999"/>
    <s v="USA"/>
    <x v="6"/>
    <x v="1"/>
    <m/>
    <s v="Shipping Company A"/>
    <s v="Roland Wacker"/>
    <s v="123 10th Street"/>
    <x v="7"/>
    <s v="IL"/>
    <n v="99999"/>
    <x v="0"/>
    <m/>
    <x v="1"/>
    <x v="1"/>
    <n v="3.5"/>
    <n v="53"/>
    <x v="304"/>
    <n v="17.622499999999999"/>
  </r>
  <r>
    <n v="1420"/>
    <x v="144"/>
    <n v="11"/>
    <x v="10"/>
    <s v="123 11th Street"/>
    <s v="Miami"/>
    <x v="9"/>
    <n v="99999"/>
    <s v="USA"/>
    <x v="5"/>
    <x v="3"/>
    <m/>
    <s v="Shipping Company C"/>
    <s v="Peter Krschne"/>
    <s v="123 11th Street"/>
    <x v="9"/>
    <s v="FL"/>
    <n v="99999"/>
    <x v="0"/>
    <m/>
    <x v="9"/>
    <x v="5"/>
    <n v="40"/>
    <n v="61"/>
    <x v="305"/>
    <n v="248.88"/>
  </r>
  <r>
    <n v="1421"/>
    <x v="145"/>
    <n v="1"/>
    <x v="11"/>
    <s v="123 1st Street"/>
    <s v="Seattle"/>
    <x v="10"/>
    <n v="99999"/>
    <s v="USA"/>
    <x v="2"/>
    <x v="2"/>
    <m/>
    <s v="Shipping Company C"/>
    <s v="Anna Bedecs"/>
    <s v="123 1st Street"/>
    <x v="10"/>
    <s v="WA"/>
    <n v="99999"/>
    <x v="0"/>
    <m/>
    <x v="13"/>
    <x v="8"/>
    <n v="18.399999999999999"/>
    <n v="45"/>
    <x v="306"/>
    <n v="81.143999999999991"/>
  </r>
  <r>
    <n v="1422"/>
    <x v="141"/>
    <n v="28"/>
    <x v="7"/>
    <s v="789 28th Street"/>
    <s v="Memphis"/>
    <x v="6"/>
    <n v="99999"/>
    <s v="USA"/>
    <x v="5"/>
    <x v="3"/>
    <d v="2014-12-30T00:00:00"/>
    <s v="Shipping Company C"/>
    <s v="Amritansh Raghav"/>
    <s v="789 28th Street"/>
    <x v="6"/>
    <s v="TN"/>
    <n v="99999"/>
    <x v="0"/>
    <s v="Credit Card"/>
    <x v="5"/>
    <x v="0"/>
    <n v="46"/>
    <n v="43"/>
    <x v="307"/>
    <n v="197.8"/>
  </r>
  <r>
    <n v="1423"/>
    <x v="146"/>
    <n v="9"/>
    <x v="12"/>
    <s v="123 9th Street"/>
    <s v="Salt Lake City"/>
    <x v="11"/>
    <n v="99999"/>
    <s v="USA"/>
    <x v="7"/>
    <x v="0"/>
    <d v="2014-12-11T00:00:00"/>
    <s v="Shipping Company A"/>
    <s v="Sven Mortensen"/>
    <s v="123 9th Street"/>
    <x v="11"/>
    <s v="UT"/>
    <n v="99999"/>
    <x v="0"/>
    <s v="Check"/>
    <x v="8"/>
    <x v="4"/>
    <n v="9.65"/>
    <n v="18"/>
    <x v="308"/>
    <n v="16.5015"/>
  </r>
  <r>
    <n v="1424"/>
    <x v="140"/>
    <n v="6"/>
    <x v="6"/>
    <s v="123 6th Street"/>
    <s v="Milwaukee"/>
    <x v="5"/>
    <n v="99999"/>
    <s v="USA"/>
    <x v="4"/>
    <x v="2"/>
    <d v="2014-12-08T00:00:00"/>
    <s v="Shipping Company B"/>
    <s v="Francisco Pérez-Olaeta"/>
    <s v="123 6th Street"/>
    <x v="5"/>
    <s v="WI"/>
    <n v="99999"/>
    <x v="0"/>
    <s v="Credit Card"/>
    <x v="7"/>
    <x v="3"/>
    <n v="12.75"/>
    <n v="41"/>
    <x v="87"/>
    <n v="50.706750000000007"/>
  </r>
  <r>
    <n v="1425"/>
    <x v="137"/>
    <n v="8"/>
    <x v="3"/>
    <s v="123 8th Street"/>
    <s v="Portland"/>
    <x v="2"/>
    <n v="99999"/>
    <s v="USA"/>
    <x v="2"/>
    <x v="2"/>
    <n v="41983"/>
    <s v="Shipping Company B"/>
    <s v="Elizabeth Andersen"/>
    <s v="123 8th Street"/>
    <x v="2"/>
    <s v="OR"/>
    <n v="99999"/>
    <x v="0"/>
    <s v="Check"/>
    <x v="7"/>
    <x v="3"/>
    <n v="12.75"/>
    <n v="19"/>
    <x v="109"/>
    <n v="23.982750000000003"/>
  </r>
  <r>
    <n v="1426"/>
    <x v="147"/>
    <n v="25"/>
    <x v="13"/>
    <s v="789 25th Street"/>
    <s v="Chicago"/>
    <x v="7"/>
    <n v="99999"/>
    <s v="USA"/>
    <x v="6"/>
    <x v="1"/>
    <n v="42000"/>
    <s v="Shipping Company A"/>
    <s v="John Rodman"/>
    <s v="789 25th Street"/>
    <x v="7"/>
    <s v="IL"/>
    <n v="99999"/>
    <x v="0"/>
    <s v="Cash"/>
    <x v="12"/>
    <x v="7"/>
    <n v="22"/>
    <n v="65"/>
    <x v="309"/>
    <n v="138.71"/>
  </r>
  <r>
    <n v="1427"/>
    <x v="148"/>
    <n v="26"/>
    <x v="14"/>
    <s v="789 26th Street"/>
    <s v="Miami"/>
    <x v="9"/>
    <n v="99999"/>
    <s v="USA"/>
    <x v="5"/>
    <x v="3"/>
    <n v="42001"/>
    <s v="Shipping Company C"/>
    <s v="Run Liu"/>
    <s v="789 26th Street"/>
    <x v="9"/>
    <s v="FL"/>
    <n v="99999"/>
    <x v="0"/>
    <s v="Credit Card"/>
    <x v="11"/>
    <x v="6"/>
    <n v="25"/>
    <n v="13"/>
    <x v="310"/>
    <n v="32.174999999999997"/>
  </r>
  <r>
    <n v="1428"/>
    <x v="138"/>
    <n v="29"/>
    <x v="4"/>
    <s v="789 29th Street"/>
    <s v="Denver"/>
    <x v="3"/>
    <n v="99999"/>
    <s v="USA"/>
    <x v="3"/>
    <x v="0"/>
    <n v="42004"/>
    <s v="Shipping Company B"/>
    <s v="Soo Jung Lee"/>
    <s v="789 29th Street"/>
    <x v="3"/>
    <s v="CO"/>
    <n v="99999"/>
    <x v="0"/>
    <s v="Check"/>
    <x v="19"/>
    <x v="12"/>
    <n v="39"/>
    <n v="54"/>
    <x v="311"/>
    <n v="214.81200000000004"/>
  </r>
  <r>
    <n v="1429"/>
    <x v="140"/>
    <n v="6"/>
    <x v="6"/>
    <s v="123 6th Street"/>
    <s v="Milwaukee"/>
    <x v="5"/>
    <n v="99999"/>
    <s v="USA"/>
    <x v="4"/>
    <x v="2"/>
    <d v="2014-12-08T00:00:00"/>
    <s v="Shipping Company C"/>
    <s v="Francisco Pérez-Olaeta"/>
    <s v="123 6th Street"/>
    <x v="5"/>
    <s v="WI"/>
    <n v="99999"/>
    <x v="0"/>
    <s v="Check"/>
    <x v="2"/>
    <x v="1"/>
    <n v="30"/>
    <n v="33"/>
    <x v="82"/>
    <n v="95.039999999999992"/>
  </r>
  <r>
    <n v="1430"/>
    <x v="140"/>
    <n v="6"/>
    <x v="6"/>
    <s v="123 6th Street"/>
    <s v="Milwaukee"/>
    <x v="5"/>
    <n v="99999"/>
    <s v="USA"/>
    <x v="4"/>
    <x v="2"/>
    <d v="2014-12-08T00:00:00"/>
    <s v="Shipping Company C"/>
    <s v="Francisco Pérez-Olaeta"/>
    <s v="123 6th Street"/>
    <x v="5"/>
    <s v="WI"/>
    <n v="99999"/>
    <x v="0"/>
    <s v="Check"/>
    <x v="3"/>
    <x v="1"/>
    <n v="53"/>
    <n v="34"/>
    <x v="312"/>
    <n v="185.60600000000002"/>
  </r>
  <r>
    <n v="1431"/>
    <x v="135"/>
    <n v="4"/>
    <x v="1"/>
    <s v="123 4th Street"/>
    <s v="New York"/>
    <x v="1"/>
    <n v="99999"/>
    <s v="USA"/>
    <x v="1"/>
    <x v="1"/>
    <m/>
    <m/>
    <s v="Christina Lee"/>
    <s v="123 4th Street"/>
    <x v="1"/>
    <s v="NY"/>
    <n v="99999"/>
    <x v="0"/>
    <m/>
    <x v="20"/>
    <x v="9"/>
    <n v="38"/>
    <n v="59"/>
    <x v="313"/>
    <n v="226.44200000000001"/>
  </r>
  <r>
    <n v="1432"/>
    <x v="139"/>
    <n v="3"/>
    <x v="5"/>
    <s v="123 3rd Street"/>
    <s v="Los Angelas"/>
    <x v="4"/>
    <n v="99999"/>
    <s v="USA"/>
    <x v="0"/>
    <x v="0"/>
    <m/>
    <m/>
    <s v="Thomas Axerr"/>
    <s v="123 3rd Street"/>
    <x v="4"/>
    <s v="CA"/>
    <n v="99999"/>
    <x v="0"/>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950A0-1195-4C90-9949-05B8D2BB8C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2"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axis="axisRow" showAll="0" sortType="a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5"/>
    </i>
    <i>
      <x/>
    </i>
    <i>
      <x v="2"/>
    </i>
    <i>
      <x v="4"/>
    </i>
    <i>
      <x v="3"/>
    </i>
    <i>
      <x v="7"/>
    </i>
    <i>
      <x v="6"/>
    </i>
    <i>
      <x v="1"/>
    </i>
    <i t="grand">
      <x/>
    </i>
  </rowItems>
  <colItems count="1">
    <i/>
  </colItems>
  <dataFields count="1">
    <dataField name="Sum of Revenue" fld="24" baseField="0" baseItem="0" numFmtId="166"/>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7"/>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2"/>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0"/>
          </reference>
          <reference field="9" count="1" selected="0">
            <x v="0"/>
          </reference>
        </references>
      </pivotArea>
    </chartFormat>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9" count="1" selected="0">
            <x v="5"/>
          </reference>
        </references>
      </pivotArea>
    </chartFormat>
    <chartFormat chart="18" format="20">
      <pivotArea type="data" outline="0" fieldPosition="0">
        <references count="2">
          <reference field="4294967294" count="1" selected="0">
            <x v="0"/>
          </reference>
          <reference field="9" count="1" selected="0">
            <x v="0"/>
          </reference>
        </references>
      </pivotArea>
    </chartFormat>
    <chartFormat chart="18" format="21">
      <pivotArea type="data" outline="0" fieldPosition="0">
        <references count="2">
          <reference field="4294967294" count="1" selected="0">
            <x v="0"/>
          </reference>
          <reference field="9" count="1" selected="0">
            <x v="2"/>
          </reference>
        </references>
      </pivotArea>
    </chartFormat>
    <chartFormat chart="18" format="22">
      <pivotArea type="data" outline="0" fieldPosition="0">
        <references count="2">
          <reference field="4294967294" count="1" selected="0">
            <x v="0"/>
          </reference>
          <reference field="9" count="1" selected="0">
            <x v="4"/>
          </reference>
        </references>
      </pivotArea>
    </chartFormat>
    <chartFormat chart="18" format="23">
      <pivotArea type="data" outline="0" fieldPosition="0">
        <references count="2">
          <reference field="4294967294" count="1" selected="0">
            <x v="0"/>
          </reference>
          <reference field="9" count="1" selected="0">
            <x v="3"/>
          </reference>
        </references>
      </pivotArea>
    </chartFormat>
    <chartFormat chart="18" format="24">
      <pivotArea type="data" outline="0" fieldPosition="0">
        <references count="2">
          <reference field="4294967294" count="1" selected="0">
            <x v="0"/>
          </reference>
          <reference field="9" count="1" selected="0">
            <x v="7"/>
          </reference>
        </references>
      </pivotArea>
    </chartFormat>
    <chartFormat chart="18" format="25">
      <pivotArea type="data" outline="0" fieldPosition="0">
        <references count="2">
          <reference field="4294967294" count="1" selected="0">
            <x v="0"/>
          </reference>
          <reference field="9" count="1" selected="0">
            <x v="6"/>
          </reference>
        </references>
      </pivotArea>
    </chartFormat>
    <chartFormat chart="18" format="26">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9" count="1" selected="0">
            <x v="7"/>
          </reference>
        </references>
      </pivotArea>
    </chartFormat>
    <chartFormat chart="25" format="16">
      <pivotArea type="data" outline="0" fieldPosition="0">
        <references count="2">
          <reference field="4294967294" count="1" selected="0">
            <x v="0"/>
          </reference>
          <reference field="9" count="1" selected="0">
            <x v="6"/>
          </reference>
        </references>
      </pivotArea>
    </chartFormat>
    <chartFormat chart="25" format="1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A18EC-DD79-4969-A649-78EB8133E47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6"/>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0" count="1" selected="0">
            <x v="1"/>
          </reference>
        </references>
      </pivotArea>
    </chartFormat>
    <chartFormat chart="1" format="7">
      <pivotArea type="data" outline="0" fieldPosition="0">
        <references count="2">
          <reference field="4294967294" count="1" selected="0">
            <x v="0"/>
          </reference>
          <reference field="10" count="1" selected="0">
            <x v="0"/>
          </reference>
        </references>
      </pivotArea>
    </chartFormat>
    <chartFormat chart="1" format="8">
      <pivotArea type="data" outline="0" fieldPosition="0">
        <references count="2">
          <reference field="4294967294" count="1" selected="0">
            <x v="0"/>
          </reference>
          <reference field="10" count="1" selected="0">
            <x v="2"/>
          </reference>
        </references>
      </pivotArea>
    </chartFormat>
    <chartFormat chart="1" format="9">
      <pivotArea type="data" outline="0" fieldPosition="0">
        <references count="2">
          <reference field="4294967294" count="1" selected="0">
            <x v="0"/>
          </reference>
          <reference field="1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0"/>
          </reference>
        </references>
      </pivotArea>
    </chartFormat>
    <chartFormat chart="2" format="13">
      <pivotArea type="data" outline="0" fieldPosition="0">
        <references count="2">
          <reference field="4294967294" count="1" selected="0">
            <x v="0"/>
          </reference>
          <reference field="10" count="1" selected="0">
            <x v="2"/>
          </reference>
        </references>
      </pivotArea>
    </chartFormat>
    <chartFormat chart="2" format="1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4AC99-8556-418D-994C-12FA423789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5"/>
    </i>
    <i>
      <x v="8"/>
    </i>
    <i>
      <x v="2"/>
    </i>
    <i t="grand">
      <x/>
    </i>
  </rowItems>
  <colItems count="1">
    <i/>
  </colItems>
  <dataFields count="1">
    <dataField name="Sum of Revenue" fld="24" baseField="0" baseItem="0" numFmtId="166"/>
  </dataFields>
  <chartFormats count="3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8"/>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6"/>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9"/>
          </reference>
        </references>
      </pivotArea>
    </chartFormat>
    <chartFormat chart="0" format="7">
      <pivotArea type="data" outline="0" fieldPosition="0">
        <references count="2">
          <reference field="4294967294" count="1" selected="0">
            <x v="0"/>
          </reference>
          <reference field="3" count="1" selected="0">
            <x v="10"/>
          </reference>
        </references>
      </pivotArea>
    </chartFormat>
    <chartFormat chart="0" format="8">
      <pivotArea type="data" outline="0" fieldPosition="0">
        <references count="2">
          <reference field="4294967294" count="1" selected="0">
            <x v="0"/>
          </reference>
          <reference field="3" count="1" selected="0">
            <x v="14"/>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11"/>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3" count="1" selected="0">
            <x v="5"/>
          </reference>
        </references>
      </pivotArea>
    </chartFormat>
    <chartFormat chart="2" format="24">
      <pivotArea type="data" outline="0" fieldPosition="0">
        <references count="2">
          <reference field="4294967294" count="1" selected="0">
            <x v="0"/>
          </reference>
          <reference field="3" count="1" selected="0">
            <x v="8"/>
          </reference>
        </references>
      </pivotArea>
    </chartFormat>
    <chartFormat chart="2" format="25">
      <pivotArea type="data" outline="0" fieldPosition="0">
        <references count="2">
          <reference field="4294967294" count="1" selected="0">
            <x v="0"/>
          </reference>
          <reference field="3" count="1" selected="0">
            <x v="2"/>
          </reference>
        </references>
      </pivotArea>
    </chartFormat>
    <chartFormat chart="2" format="26">
      <pivotArea type="data" outline="0" fieldPosition="0">
        <references count="2">
          <reference field="4294967294" count="1" selected="0">
            <x v="0"/>
          </reference>
          <reference field="3" count="1" selected="0">
            <x v="6"/>
          </reference>
        </references>
      </pivotArea>
    </chartFormat>
    <chartFormat chart="2" format="27">
      <pivotArea type="data" outline="0" fieldPosition="0">
        <references count="2">
          <reference field="4294967294" count="1" selected="0">
            <x v="0"/>
          </reference>
          <reference field="3" count="1" selected="0">
            <x v="0"/>
          </reference>
        </references>
      </pivotArea>
    </chartFormat>
    <chartFormat chart="2" format="28">
      <pivotArea type="data" outline="0" fieldPosition="0">
        <references count="2">
          <reference field="4294967294" count="1" selected="0">
            <x v="0"/>
          </reference>
          <reference field="3" count="1" selected="0">
            <x v="9"/>
          </reference>
        </references>
      </pivotArea>
    </chartFormat>
    <chartFormat chart="2" format="29">
      <pivotArea type="data" outline="0" fieldPosition="0">
        <references count="2">
          <reference field="4294967294" count="1" selected="0">
            <x v="0"/>
          </reference>
          <reference field="3" count="1" selected="0">
            <x v="10"/>
          </reference>
        </references>
      </pivotArea>
    </chartFormat>
    <chartFormat chart="2" format="30">
      <pivotArea type="data" outline="0" fieldPosition="0">
        <references count="2">
          <reference field="4294967294" count="1" selected="0">
            <x v="0"/>
          </reference>
          <reference field="3" count="1" selected="0">
            <x v="14"/>
          </reference>
        </references>
      </pivotArea>
    </chartFormat>
    <chartFormat chart="2" format="31">
      <pivotArea type="data" outline="0" fieldPosition="0">
        <references count="2">
          <reference field="4294967294" count="1" selected="0">
            <x v="0"/>
          </reference>
          <reference field="3" count="1" selected="0">
            <x v="3"/>
          </reference>
        </references>
      </pivotArea>
    </chartFormat>
    <chartFormat chart="2" format="32">
      <pivotArea type="data" outline="0" fieldPosition="0">
        <references count="2">
          <reference field="4294967294" count="1" selected="0">
            <x v="0"/>
          </reference>
          <reference field="3" count="1" selected="0">
            <x v="11"/>
          </reference>
        </references>
      </pivotArea>
    </chartFormat>
    <chartFormat chart="0" format="1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3" count="1" selected="0">
            <x v="12"/>
          </reference>
        </references>
      </pivotArea>
    </chartFormat>
    <chartFormat chart="0" format="13">
      <pivotArea type="data" outline="0" fieldPosition="0">
        <references count="2">
          <reference field="4294967294" count="1" selected="0">
            <x v="0"/>
          </reference>
          <reference field="3"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5"/>
          </reference>
        </references>
      </pivotArea>
    </chartFormat>
    <chartFormat chart="6" format="20">
      <pivotArea type="data" outline="0" fieldPosition="0">
        <references count="2">
          <reference field="4294967294" count="1" selected="0">
            <x v="0"/>
          </reference>
          <reference field="3" count="1" selected="0">
            <x v="8"/>
          </reference>
        </references>
      </pivotArea>
    </chartFormat>
    <chartFormat chart="6" format="21">
      <pivotArea type="data" outline="0" fieldPosition="0">
        <references count="2">
          <reference field="4294967294" count="1" selected="0">
            <x v="0"/>
          </reference>
          <reference field="3" count="1" selected="0">
            <x v="2"/>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3" count="1" selected="0">
            <x v="5"/>
          </reference>
        </references>
      </pivotArea>
    </chartFormat>
    <chartFormat chart="15" format="24">
      <pivotArea type="data" outline="0" fieldPosition="0">
        <references count="2">
          <reference field="4294967294" count="1" selected="0">
            <x v="0"/>
          </reference>
          <reference field="3" count="1" selected="0">
            <x v="8"/>
          </reference>
        </references>
      </pivotArea>
    </chartFormat>
    <chartFormat chart="15" format="25">
      <pivotArea type="data" outline="0" fieldPosition="0">
        <references count="2">
          <reference field="4294967294" count="1" selected="0">
            <x v="0"/>
          </reference>
          <reference field="3" count="1" selected="0">
            <x v="2"/>
          </reference>
        </references>
      </pivotArea>
    </chartFormat>
    <chartFormat chart="2" format="33">
      <pivotArea type="data" outline="0" fieldPosition="0">
        <references count="2">
          <reference field="4294967294" count="1" selected="0">
            <x v="0"/>
          </reference>
          <reference field="3" count="1" selected="0">
            <x v="12"/>
          </reference>
        </references>
      </pivotArea>
    </chartFormat>
    <chartFormat chart="2" format="34">
      <pivotArea type="data" outline="0" fieldPosition="0">
        <references count="2">
          <reference field="4294967294" count="1" selected="0">
            <x v="0"/>
          </reference>
          <reference field="3" count="1" selected="0">
            <x v="1"/>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2"/>
          </reference>
        </references>
      </pivotArea>
    </chartFormat>
    <chartFormat chart="6" format="2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C332C-5187-4BD2-9EEE-679903CD14B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8">
    <pivotField showAll="0"/>
    <pivotField axis="axisRow"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7EB1D-CBC8-4A5B-BF2B-8D948AA1D8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1"/>
  </rowFields>
  <rowItems count="4">
    <i>
      <x v="1"/>
    </i>
    <i>
      <x v="12"/>
    </i>
    <i>
      <x v="9"/>
    </i>
    <i t="grand">
      <x/>
    </i>
  </rowItems>
  <colItems count="1">
    <i/>
  </colItems>
  <dataFields count="1">
    <dataField name="Sum of Revenue" fld="24" baseField="0" baseItem="0" numFmtId="166"/>
  </dataField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1" count="1" selected="0">
            <x v="1"/>
          </reference>
        </references>
      </pivotArea>
    </chartFormat>
    <chartFormat chart="3" format="2">
      <pivotArea type="data" outline="0" fieldPosition="0">
        <references count="2">
          <reference field="4294967294" count="1" selected="0">
            <x v="0"/>
          </reference>
          <reference field="21" count="1" selected="0">
            <x v="12"/>
          </reference>
        </references>
      </pivotArea>
    </chartFormat>
    <chartFormat chart="3" format="3">
      <pivotArea type="data" outline="0" fieldPosition="0">
        <references count="2">
          <reference field="4294967294" count="1" selected="0">
            <x v="0"/>
          </reference>
          <reference field="21" count="1" selected="0">
            <x v="9"/>
          </reference>
        </references>
      </pivotArea>
    </chartFormat>
    <chartFormat chart="3" format="4">
      <pivotArea type="data" outline="0" fieldPosition="0">
        <references count="2">
          <reference field="4294967294" count="1" selected="0">
            <x v="0"/>
          </reference>
          <reference field="21" count="1" selected="0">
            <x v="5"/>
          </reference>
        </references>
      </pivotArea>
    </chartFormat>
    <chartFormat chart="3" format="5">
      <pivotArea type="data" outline="0" fieldPosition="0">
        <references count="2">
          <reference field="4294967294" count="1" selected="0">
            <x v="0"/>
          </reference>
          <reference field="21" count="1" selected="0">
            <x v="6"/>
          </reference>
        </references>
      </pivotArea>
    </chartFormat>
    <chartFormat chart="3" format="6">
      <pivotArea type="data" outline="0" fieldPosition="0">
        <references count="2">
          <reference field="4294967294" count="1" selected="0">
            <x v="0"/>
          </reference>
          <reference field="21" count="1" selected="0">
            <x v="3"/>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1" count="1" selected="0">
            <x v="1"/>
          </reference>
        </references>
      </pivotArea>
    </chartFormat>
    <chartFormat chart="7" format="16">
      <pivotArea type="data" outline="0" fieldPosition="0">
        <references count="2">
          <reference field="4294967294" count="1" selected="0">
            <x v="0"/>
          </reference>
          <reference field="21" count="1" selected="0">
            <x v="12"/>
          </reference>
        </references>
      </pivotArea>
    </chartFormat>
    <chartFormat chart="7" format="17">
      <pivotArea type="data" outline="0" fieldPosition="0">
        <references count="2">
          <reference field="4294967294" count="1" selected="0">
            <x v="0"/>
          </reference>
          <reference field="21" count="1" selected="0">
            <x v="9"/>
          </reference>
        </references>
      </pivotArea>
    </chartFormat>
    <chartFormat chart="7" format="18">
      <pivotArea type="data" outline="0" fieldPosition="0">
        <references count="2">
          <reference field="4294967294" count="1" selected="0">
            <x v="0"/>
          </reference>
          <reference field="21" count="1" selected="0">
            <x v="5"/>
          </reference>
        </references>
      </pivotArea>
    </chartFormat>
    <chartFormat chart="7" format="19">
      <pivotArea type="data" outline="0" fieldPosition="0">
        <references count="2">
          <reference field="4294967294" count="1" selected="0">
            <x v="0"/>
          </reference>
          <reference field="21" count="1" selected="0">
            <x v="6"/>
          </reference>
        </references>
      </pivotArea>
    </chartFormat>
    <chartFormat chart="7" format="20">
      <pivotArea type="data" outline="0" fieldPosition="0">
        <references count="2">
          <reference field="4294967294" count="1" selected="0">
            <x v="0"/>
          </reference>
          <reference field="21" count="1" selected="0">
            <x v="3"/>
          </reference>
        </references>
      </pivotArea>
    </chartFormat>
    <chartFormat chart="3" format="7">
      <pivotArea type="data" outline="0" fieldPosition="0">
        <references count="2">
          <reference field="4294967294" count="1" selected="0">
            <x v="0"/>
          </reference>
          <reference field="21" count="1" selected="0">
            <x v="4"/>
          </reference>
        </references>
      </pivotArea>
    </chartFormat>
    <chartFormat chart="3" format="8">
      <pivotArea type="data" outline="0" fieldPosition="0">
        <references count="2">
          <reference field="4294967294" count="1" selected="0">
            <x v="0"/>
          </reference>
          <reference field="21" count="1" selected="0">
            <x v="14"/>
          </reference>
        </references>
      </pivotArea>
    </chartFormat>
    <chartFormat chart="7" format="2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2360E-29AE-48DE-AA1F-DD92E7F116F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sortType="ascending">
      <items count="11">
        <item x="0"/>
        <item x="9"/>
        <item x="1"/>
        <item x="2"/>
        <item x="3"/>
        <item x="4"/>
        <item x="5"/>
        <item x="6"/>
        <item x="7"/>
        <item x="8"/>
        <item t="default"/>
      </items>
    </pivotField>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4"/>
  </rowFields>
  <rowItems count="8">
    <i>
      <x v="2"/>
    </i>
    <i>
      <x v="3"/>
    </i>
    <i>
      <x v="4"/>
    </i>
    <i>
      <x v="5"/>
    </i>
    <i>
      <x v="6"/>
    </i>
    <i>
      <x v="8"/>
    </i>
    <i>
      <x v="9"/>
    </i>
    <i t="grand">
      <x/>
    </i>
  </rowItems>
  <colItems count="1">
    <i/>
  </colItems>
  <dataFields count="1">
    <dataField name="Count of Revenue" fld="24" subtotal="count" baseField="0" baseItem="0"/>
  </dataFields>
  <chartFormats count="19">
    <chartFormat chart="1"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4" count="1" selected="0">
            <x v="2"/>
          </reference>
        </references>
      </pivotArea>
    </chartFormat>
    <chartFormat chart="6" format="10">
      <pivotArea type="data" outline="0" fieldPosition="0">
        <references count="2">
          <reference field="4294967294" count="1" selected="0">
            <x v="0"/>
          </reference>
          <reference field="24" count="1" selected="0">
            <x v="3"/>
          </reference>
        </references>
      </pivotArea>
    </chartFormat>
    <chartFormat chart="6" format="11">
      <pivotArea type="data" outline="0" fieldPosition="0">
        <references count="2">
          <reference field="4294967294" count="1" selected="0">
            <x v="0"/>
          </reference>
          <reference field="24" count="1" selected="0">
            <x v="4"/>
          </reference>
        </references>
      </pivotArea>
    </chartFormat>
    <chartFormat chart="6" format="12">
      <pivotArea type="data" outline="0" fieldPosition="0">
        <references count="2">
          <reference field="4294967294" count="1" selected="0">
            <x v="0"/>
          </reference>
          <reference field="24" count="1" selected="0">
            <x v="5"/>
          </reference>
        </references>
      </pivotArea>
    </chartFormat>
    <chartFormat chart="6" format="13">
      <pivotArea type="data" outline="0" fieldPosition="0">
        <references count="2">
          <reference field="4294967294" count="1" selected="0">
            <x v="0"/>
          </reference>
          <reference field="24" count="1" selected="0">
            <x v="6"/>
          </reference>
        </references>
      </pivotArea>
    </chartFormat>
    <chartFormat chart="6" format="14">
      <pivotArea type="data" outline="0" fieldPosition="0">
        <references count="2">
          <reference field="4294967294" count="1" selected="0">
            <x v="0"/>
          </reference>
          <reference field="24" count="1" selected="0">
            <x v="8"/>
          </reference>
        </references>
      </pivotArea>
    </chartFormat>
    <chartFormat chart="6" format="15">
      <pivotArea type="data" outline="0" fieldPosition="0">
        <references count="2">
          <reference field="4294967294" count="1" selected="0">
            <x v="0"/>
          </reference>
          <reference field="24" count="1" selected="0">
            <x v="9"/>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24" count="1" selected="0">
            <x v="2"/>
          </reference>
        </references>
      </pivotArea>
    </chartFormat>
    <chartFormat chart="12" format="26">
      <pivotArea type="data" outline="0" fieldPosition="0">
        <references count="2">
          <reference field="4294967294" count="1" selected="0">
            <x v="0"/>
          </reference>
          <reference field="24" count="1" selected="0">
            <x v="3"/>
          </reference>
        </references>
      </pivotArea>
    </chartFormat>
    <chartFormat chart="12" format="27">
      <pivotArea type="data" outline="0" fieldPosition="0">
        <references count="2">
          <reference field="4294967294" count="1" selected="0">
            <x v="0"/>
          </reference>
          <reference field="24" count="1" selected="0">
            <x v="4"/>
          </reference>
        </references>
      </pivotArea>
    </chartFormat>
    <chartFormat chart="12" format="28">
      <pivotArea type="data" outline="0" fieldPosition="0">
        <references count="2">
          <reference field="4294967294" count="1" selected="0">
            <x v="0"/>
          </reference>
          <reference field="24" count="1" selected="0">
            <x v="5"/>
          </reference>
        </references>
      </pivotArea>
    </chartFormat>
    <chartFormat chart="12" format="29">
      <pivotArea type="data" outline="0" fieldPosition="0">
        <references count="2">
          <reference field="4294967294" count="1" selected="0">
            <x v="0"/>
          </reference>
          <reference field="24" count="1" selected="0">
            <x v="6"/>
          </reference>
        </references>
      </pivotArea>
    </chartFormat>
    <chartFormat chart="12" format="30">
      <pivotArea type="data" outline="0" fieldPosition="0">
        <references count="2">
          <reference field="4294967294" count="1" selected="0">
            <x v="0"/>
          </reference>
          <reference field="24" count="1" selected="0">
            <x v="8"/>
          </reference>
        </references>
      </pivotArea>
    </chartFormat>
    <chartFormat chart="12" format="31">
      <pivotArea type="data" outline="0" fieldPosition="0">
        <references count="2">
          <reference field="4294967294" count="1" selected="0">
            <x v="0"/>
          </reference>
          <reference field="24" count="1" selected="0">
            <x v="9"/>
          </reference>
        </references>
      </pivotArea>
    </chartFormat>
    <chartFormat chart="6" format="1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B79AEE-BDBF-475C-96FE-A032E4E9A24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7">
        <item x="2"/>
        <item x="0"/>
        <item x="3"/>
        <item x="8"/>
        <item x="7"/>
        <item x="10"/>
        <item x="1"/>
        <item x="12"/>
        <item x="14"/>
        <item x="6"/>
        <item x="13"/>
        <item x="9"/>
        <item x="5"/>
        <item m="1" x="15"/>
        <item x="4"/>
        <item x="11"/>
        <item t="default"/>
      </items>
    </pivotField>
    <pivotField showAll="0"/>
    <pivotField showAll="0"/>
    <pivotField dataField="1" numFmtId="166" showAll="0" sortType="ascending">
      <items count="11">
        <item x="0"/>
        <item x="9"/>
        <item x="1"/>
        <item x="2"/>
        <item x="3"/>
        <item x="4"/>
        <item x="5"/>
        <item x="6"/>
        <item x="7"/>
        <item x="8"/>
        <item t="default"/>
      </items>
    </pivotField>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6">
    <i>
      <x v="8"/>
    </i>
    <i>
      <x v="9"/>
    </i>
    <i>
      <x v="6"/>
    </i>
    <i>
      <x v="5"/>
    </i>
    <i>
      <x v="1"/>
    </i>
    <i t="grand">
      <x/>
    </i>
  </rowItems>
  <colItems count="1">
    <i/>
  </colItems>
  <dataFields count="1">
    <dataField name="Sum of Revenue" fld="24" baseField="0" baseItem="0" numFmtId="166"/>
  </dataFields>
  <chartFormats count="26">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5" count="1" selected="0">
            <x v="9"/>
          </reference>
        </references>
      </pivotArea>
    </chartFormat>
    <chartFormat chart="11" format="26">
      <pivotArea type="data" outline="0" fieldPosition="0">
        <references count="2">
          <reference field="4294967294" count="1" selected="0">
            <x v="0"/>
          </reference>
          <reference field="15" count="1" selected="0">
            <x v="6"/>
          </reference>
        </references>
      </pivotArea>
    </chartFormat>
    <chartFormat chart="11" format="27">
      <pivotArea type="data" outline="0" fieldPosition="0">
        <references count="2">
          <reference field="4294967294" count="1" selected="0">
            <x v="0"/>
          </reference>
          <reference field="15" count="1" selected="0">
            <x v="5"/>
          </reference>
        </references>
      </pivotArea>
    </chartFormat>
    <chartFormat chart="11" format="28">
      <pivotArea type="data" outline="0" fieldPosition="0">
        <references count="2">
          <reference field="4294967294" count="1" selected="0">
            <x v="0"/>
          </reference>
          <reference field="15" count="1" selected="0">
            <x v="1"/>
          </reference>
        </references>
      </pivotArea>
    </chartFormat>
    <chartFormat chart="16" format="29" series="1">
      <pivotArea type="data" outline="0" fieldPosition="0">
        <references count="1">
          <reference field="4294967294" count="1" selected="0">
            <x v="0"/>
          </reference>
        </references>
      </pivotArea>
    </chartFormat>
    <chartFormat chart="16" format="30">
      <pivotArea type="data" outline="0" fieldPosition="0">
        <references count="2">
          <reference field="4294967294" count="1" selected="0">
            <x v="0"/>
          </reference>
          <reference field="15" count="1" selected="0">
            <x v="9"/>
          </reference>
        </references>
      </pivotArea>
    </chartFormat>
    <chartFormat chart="16" format="31">
      <pivotArea type="data" outline="0" fieldPosition="0">
        <references count="2">
          <reference field="4294967294" count="1" selected="0">
            <x v="0"/>
          </reference>
          <reference field="15" count="1" selected="0">
            <x v="6"/>
          </reference>
        </references>
      </pivotArea>
    </chartFormat>
    <chartFormat chart="16" format="32">
      <pivotArea type="data" outline="0" fieldPosition="0">
        <references count="2">
          <reference field="4294967294" count="1" selected="0">
            <x v="0"/>
          </reference>
          <reference field="15" count="1" selected="0">
            <x v="5"/>
          </reference>
        </references>
      </pivotArea>
    </chartFormat>
    <chartFormat chart="16" format="33">
      <pivotArea type="data" outline="0" fieldPosition="0">
        <references count="2">
          <reference field="4294967294" count="1" selected="0">
            <x v="0"/>
          </reference>
          <reference field="15" count="1" selected="0">
            <x v="1"/>
          </reference>
        </references>
      </pivotArea>
    </chartFormat>
    <chartFormat chart="20" format="34" series="1">
      <pivotArea type="data" outline="0" fieldPosition="0">
        <references count="1">
          <reference field="4294967294" count="1" selected="0">
            <x v="0"/>
          </reference>
        </references>
      </pivotArea>
    </chartFormat>
    <chartFormat chart="20" format="35">
      <pivotArea type="data" outline="0" fieldPosition="0">
        <references count="2">
          <reference field="4294967294" count="1" selected="0">
            <x v="0"/>
          </reference>
          <reference field="15" count="1" selected="0">
            <x v="8"/>
          </reference>
        </references>
      </pivotArea>
    </chartFormat>
    <chartFormat chart="20" format="36">
      <pivotArea type="data" outline="0" fieldPosition="0">
        <references count="2">
          <reference field="4294967294" count="1" selected="0">
            <x v="0"/>
          </reference>
          <reference field="15" count="1" selected="0">
            <x v="9"/>
          </reference>
        </references>
      </pivotArea>
    </chartFormat>
    <chartFormat chart="20" format="37">
      <pivotArea type="data" outline="0" fieldPosition="0">
        <references count="2">
          <reference field="4294967294" count="1" selected="0">
            <x v="0"/>
          </reference>
          <reference field="15" count="1" selected="0">
            <x v="6"/>
          </reference>
        </references>
      </pivotArea>
    </chartFormat>
    <chartFormat chart="20" format="38">
      <pivotArea type="data" outline="0" fieldPosition="0">
        <references count="2">
          <reference field="4294967294" count="1" selected="0">
            <x v="0"/>
          </reference>
          <reference field="15" count="1" selected="0">
            <x v="5"/>
          </reference>
        </references>
      </pivotArea>
    </chartFormat>
    <chartFormat chart="20" format="39">
      <pivotArea type="data" outline="0" fieldPosition="0">
        <references count="2">
          <reference field="4294967294" count="1" selected="0">
            <x v="0"/>
          </reference>
          <reference field="15" count="1" selected="0">
            <x v="1"/>
          </reference>
        </references>
      </pivotArea>
    </chartFormat>
    <chartFormat chart="21" format="40" series="1">
      <pivotArea type="data" outline="0" fieldPosition="0">
        <references count="1">
          <reference field="4294967294" count="1" selected="0">
            <x v="0"/>
          </reference>
        </references>
      </pivotArea>
    </chartFormat>
    <chartFormat chart="21" format="41">
      <pivotArea type="data" outline="0" fieldPosition="0">
        <references count="2">
          <reference field="4294967294" count="1" selected="0">
            <x v="0"/>
          </reference>
          <reference field="15" count="1" selected="0">
            <x v="8"/>
          </reference>
        </references>
      </pivotArea>
    </chartFormat>
    <chartFormat chart="21" format="42">
      <pivotArea type="data" outline="0" fieldPosition="0">
        <references count="2">
          <reference field="4294967294" count="1" selected="0">
            <x v="0"/>
          </reference>
          <reference field="15" count="1" selected="0">
            <x v="9"/>
          </reference>
        </references>
      </pivotArea>
    </chartFormat>
    <chartFormat chart="21" format="43">
      <pivotArea type="data" outline="0" fieldPosition="0">
        <references count="2">
          <reference field="4294967294" count="1" selected="0">
            <x v="0"/>
          </reference>
          <reference field="15" count="1" selected="0">
            <x v="6"/>
          </reference>
        </references>
      </pivotArea>
    </chartFormat>
    <chartFormat chart="21" format="44">
      <pivotArea type="data" outline="0" fieldPosition="0">
        <references count="2">
          <reference field="4294967294" count="1" selected="0">
            <x v="0"/>
          </reference>
          <reference field="15" count="1" selected="0">
            <x v="5"/>
          </reference>
        </references>
      </pivotArea>
    </chartFormat>
    <chartFormat chart="21" format="45">
      <pivotArea type="data" outline="0" fieldPosition="0">
        <references count="2">
          <reference field="4294967294" count="1" selected="0">
            <x v="0"/>
          </reference>
          <reference field="15" count="1" selected="0">
            <x v="1"/>
          </reference>
        </references>
      </pivotArea>
    </chartFormat>
    <chartFormat chart="16" format="34">
      <pivotArea type="data" outline="0" fieldPosition="0">
        <references count="2">
          <reference field="4294967294" count="1" selected="0">
            <x v="0"/>
          </reference>
          <reference field="15" count="1" selected="0">
            <x v="8"/>
          </reference>
        </references>
      </pivotArea>
    </chartFormat>
    <chartFormat chart="16" format="35">
      <pivotArea type="data" outline="0" fieldPosition="0">
        <references count="1">
          <reference field="4294967294" count="1" selected="0">
            <x v="0"/>
          </reference>
        </references>
      </pivotArea>
    </chartFormat>
    <chartFormat chart="16" format="36">
      <pivotArea type="data" outline="0" fieldPosition="0">
        <references count="2">
          <reference field="4294967294" count="1" selected="0">
            <x v="0"/>
          </reference>
          <reference field="15" count="1" selected="0">
            <x v="4"/>
          </reference>
        </references>
      </pivotArea>
    </chartFormat>
    <chartFormat chart="16" format="37">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A2AE86-7063-4EFD-91D1-A88987027C9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0"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7">
        <item x="2"/>
        <item x="0"/>
        <item x="3"/>
        <item x="8"/>
        <item x="7"/>
        <item x="10"/>
        <item x="1"/>
        <item x="12"/>
        <item x="14"/>
        <item x="6"/>
        <item x="13"/>
        <item x="9"/>
        <item x="5"/>
        <item m="1" x="15"/>
        <item x="4"/>
        <item x="11"/>
        <item t="default"/>
      </items>
    </pivotField>
    <pivotField showAll="0"/>
    <pivotField showAll="0"/>
    <pivotField dataField="1" numFmtId="166" showAll="0" sortType="ascending">
      <items count="11">
        <item x="0"/>
        <item x="9"/>
        <item x="1"/>
        <item x="2"/>
        <item x="3"/>
        <item x="4"/>
        <item x="5"/>
        <item x="6"/>
        <item x="7"/>
        <item x="8"/>
        <item t="default"/>
      </items>
    </pivotField>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7">
    <i>
      <x v="8"/>
    </i>
    <i>
      <x v="9"/>
    </i>
    <i>
      <x v="6"/>
    </i>
    <i>
      <x v="5"/>
    </i>
    <i>
      <x v="1"/>
    </i>
    <i>
      <x v="7"/>
    </i>
    <i t="grand">
      <x/>
    </i>
  </rowItems>
  <colItems count="1">
    <i/>
  </colItems>
  <dataFields count="1">
    <dataField name="Sum of Revenue" fld="24" baseField="0" baseItem="0" numFmtId="166"/>
  </dataFields>
  <chartFormats count="22">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5" count="1" selected="0">
            <x v="9"/>
          </reference>
        </references>
      </pivotArea>
    </chartFormat>
    <chartFormat chart="11" format="26">
      <pivotArea type="data" outline="0" fieldPosition="0">
        <references count="2">
          <reference field="4294967294" count="1" selected="0">
            <x v="0"/>
          </reference>
          <reference field="15" count="1" selected="0">
            <x v="6"/>
          </reference>
        </references>
      </pivotArea>
    </chartFormat>
    <chartFormat chart="11" format="27">
      <pivotArea type="data" outline="0" fieldPosition="0">
        <references count="2">
          <reference field="4294967294" count="1" selected="0">
            <x v="0"/>
          </reference>
          <reference field="15" count="1" selected="0">
            <x v="5"/>
          </reference>
        </references>
      </pivotArea>
    </chartFormat>
    <chartFormat chart="11" format="28">
      <pivotArea type="data" outline="0" fieldPosition="0">
        <references count="2">
          <reference field="4294967294" count="1" selected="0">
            <x v="0"/>
          </reference>
          <reference field="15" count="1" selected="0">
            <x v="1"/>
          </reference>
        </references>
      </pivotArea>
    </chartFormat>
    <chartFormat chart="11" format="29">
      <pivotArea type="data" outline="0" fieldPosition="0">
        <references count="2">
          <reference field="4294967294" count="1" selected="0">
            <x v="0"/>
          </reference>
          <reference field="15" count="1" selected="0">
            <x v="7"/>
          </reference>
        </references>
      </pivotArea>
    </chartFormat>
    <chartFormat chart="18" format="30" series="1">
      <pivotArea type="data" outline="0" fieldPosition="0">
        <references count="1">
          <reference field="4294967294" count="1" selected="0">
            <x v="0"/>
          </reference>
        </references>
      </pivotArea>
    </chartFormat>
    <chartFormat chart="18" format="31">
      <pivotArea type="data" outline="0" fieldPosition="0">
        <references count="2">
          <reference field="4294967294" count="1" selected="0">
            <x v="0"/>
          </reference>
          <reference field="15" count="1" selected="0">
            <x v="9"/>
          </reference>
        </references>
      </pivotArea>
    </chartFormat>
    <chartFormat chart="18" format="32">
      <pivotArea type="data" outline="0" fieldPosition="0">
        <references count="2">
          <reference field="4294967294" count="1" selected="0">
            <x v="0"/>
          </reference>
          <reference field="15" count="1" selected="0">
            <x v="6"/>
          </reference>
        </references>
      </pivotArea>
    </chartFormat>
    <chartFormat chart="18" format="33">
      <pivotArea type="data" outline="0" fieldPosition="0">
        <references count="2">
          <reference field="4294967294" count="1" selected="0">
            <x v="0"/>
          </reference>
          <reference field="15" count="1" selected="0">
            <x v="5"/>
          </reference>
        </references>
      </pivotArea>
    </chartFormat>
    <chartFormat chart="18" format="34">
      <pivotArea type="data" outline="0" fieldPosition="0">
        <references count="2">
          <reference field="4294967294" count="1" selected="0">
            <x v="0"/>
          </reference>
          <reference field="15" count="1" selected="0">
            <x v="1"/>
          </reference>
        </references>
      </pivotArea>
    </chartFormat>
    <chartFormat chart="18" format="35">
      <pivotArea type="data" outline="0" fieldPosition="0">
        <references count="2">
          <reference field="4294967294" count="1" selected="0">
            <x v="0"/>
          </reference>
          <reference field="15" count="1" selected="0">
            <x v="7"/>
          </reference>
        </references>
      </pivotArea>
    </chartFormat>
    <chartFormat chart="19" format="36" series="1">
      <pivotArea type="data" outline="0" fieldPosition="0">
        <references count="1">
          <reference field="4294967294" count="1" selected="0">
            <x v="0"/>
          </reference>
        </references>
      </pivotArea>
    </chartFormat>
    <chartFormat chart="19" format="37">
      <pivotArea type="data" outline="0" fieldPosition="0">
        <references count="2">
          <reference field="4294967294" count="1" selected="0">
            <x v="0"/>
          </reference>
          <reference field="15" count="1" selected="0">
            <x v="9"/>
          </reference>
        </references>
      </pivotArea>
    </chartFormat>
    <chartFormat chart="19" format="38">
      <pivotArea type="data" outline="0" fieldPosition="0">
        <references count="2">
          <reference field="4294967294" count="1" selected="0">
            <x v="0"/>
          </reference>
          <reference field="15" count="1" selected="0">
            <x v="6"/>
          </reference>
        </references>
      </pivotArea>
    </chartFormat>
    <chartFormat chart="19" format="39">
      <pivotArea type="data" outline="0" fieldPosition="0">
        <references count="2">
          <reference field="4294967294" count="1" selected="0">
            <x v="0"/>
          </reference>
          <reference field="15" count="1" selected="0">
            <x v="5"/>
          </reference>
        </references>
      </pivotArea>
    </chartFormat>
    <chartFormat chart="19" format="40">
      <pivotArea type="data" outline="0" fieldPosition="0">
        <references count="2">
          <reference field="4294967294" count="1" selected="0">
            <x v="0"/>
          </reference>
          <reference field="15" count="1" selected="0">
            <x v="1"/>
          </reference>
        </references>
      </pivotArea>
    </chartFormat>
    <chartFormat chart="19" format="41">
      <pivotArea type="data" outline="0" fieldPosition="0">
        <references count="2">
          <reference field="4294967294" count="1" selected="0">
            <x v="0"/>
          </reference>
          <reference field="15" count="1" selected="0">
            <x v="7"/>
          </reference>
        </references>
      </pivotArea>
    </chartFormat>
    <chartFormat chart="11" format="30">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15" count="1" selected="0">
            <x v="4"/>
          </reference>
        </references>
      </pivotArea>
    </chartFormat>
    <chartFormat chart="11" format="32">
      <pivotArea type="data" outline="0" fieldPosition="0">
        <references count="2">
          <reference field="4294967294" count="1" selected="0">
            <x v="0"/>
          </reference>
          <reference field="15" count="1" selected="0">
            <x v="3"/>
          </reference>
        </references>
      </pivotArea>
    </chartFormat>
    <chartFormat chart="11" format="33">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F6DABD-A32F-4B7E-B367-85A47510EC36}" name="PivotTable1"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3:B16"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axis="axisRow"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sortType="ascending">
      <items count="11">
        <item x="0"/>
        <item x="9"/>
        <item x="1"/>
        <item x="2"/>
        <item x="3"/>
        <item x="4"/>
        <item x="5"/>
        <item x="6"/>
        <item x="7"/>
        <item x="8"/>
        <item t="default"/>
      </items>
    </pivotField>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dataFields>
  <formats count="1">
    <format dxfId="28">
      <pivotArea collapsedLevelsAreSubtotals="1" fieldPosition="0">
        <references count="1">
          <reference field="6" count="0"/>
        </references>
      </pivotArea>
    </format>
  </formats>
  <chartFormats count="3">
    <chartFormat chart="1"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C9883A2-2104-4797-9A33-1685098CAE4C}" sourceName="Salesperson">
  <pivotTables>
    <pivotTable tabId="25" name="PivotTable1"/>
    <pivotTable tabId="29" name="PivotTable1"/>
    <pivotTable tabId="26" name="PivotTable1"/>
    <pivotTable tabId="22" name="PivotTable2"/>
    <pivotTable tabId="20" name="PivotTable1"/>
    <pivotTable tabId="33" name="PivotTable1"/>
    <pivotTable tabId="31" name="PivotTable1"/>
    <pivotTable tabId="23" name="PivotTable3"/>
    <pivotTable tabId="28" name="PivotTable1"/>
  </pivotTables>
  <data>
    <tabular pivotCacheId="987991793">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887F82-9B3C-4A59-95C2-B5A673BEC77D}" sourceName="Region">
  <pivotTables>
    <pivotTable tabId="26" name="PivotTable1"/>
    <pivotTable tabId="29" name="PivotTable1"/>
    <pivotTable tabId="22" name="PivotTable2"/>
    <pivotTable tabId="20" name="PivotTable1"/>
    <pivotTable tabId="25" name="PivotTable1"/>
    <pivotTable tabId="33" name="PivotTable1"/>
    <pivotTable tabId="31" name="PivotTable1"/>
    <pivotTable tabId="23" name="PivotTable3"/>
    <pivotTable tabId="28" name="PivotTable1"/>
  </pivotTables>
  <data>
    <tabular pivotCacheId="98799179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40AB03E-49F1-4EEC-B607-6A07F89043C0}" sourceName="Product Name">
  <pivotTables>
    <pivotTable tabId="26" name="PivotTable1"/>
    <pivotTable tabId="29" name="PivotTable1"/>
    <pivotTable tabId="22" name="PivotTable2"/>
    <pivotTable tabId="20" name="PivotTable1"/>
    <pivotTable tabId="25" name="PivotTable1"/>
    <pivotTable tabId="33" name="PivotTable1"/>
    <pivotTable tabId="31" name="PivotTable1"/>
    <pivotTable tabId="23" name="PivotTable3"/>
    <pivotTable tabId="28" name="PivotTable1"/>
  </pivotTables>
  <data>
    <tabular pivotCacheId="987991793">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352AD16-C460-41BC-9B70-B6A948E0E342}" sourceName="State">
  <pivotTables>
    <pivotTable tabId="23" name="PivotTable3"/>
    <pivotTable tabId="29" name="PivotTable1"/>
    <pivotTable tabId="26" name="PivotTable1"/>
    <pivotTable tabId="22" name="PivotTable2"/>
    <pivotTable tabId="20" name="PivotTable1"/>
    <pivotTable tabId="25" name="PivotTable1"/>
    <pivotTable tabId="33" name="PivotTable1"/>
    <pivotTable tabId="31" name="PivotTable1"/>
    <pivotTable tabId="28" name="PivotTable1"/>
  </pivotTables>
  <data>
    <tabular pivotCacheId="987991793">
      <items count="12">
        <i x="4" s="1"/>
        <i x="3" s="1"/>
        <i x="9" s="1"/>
        <i x="8" s="1"/>
        <i x="7" s="1"/>
        <i x="0" s="1"/>
        <i x="1" s="1"/>
        <i x="2" s="1"/>
        <i x="6" s="1"/>
        <i x="11"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6317F92-15DF-4893-9D3A-55B0EC5BD629}" cache="Slicer_Salesperson" caption="Salesperson" style="SlicerStyleDark5" rowHeight="241300"/>
  <slicer name="Region" xr10:uid="{20F77B12-018B-41B5-BE3D-18328BDEC79F}" cache="Slicer_Region" caption="Region" style="SlicerStyleDark5" rowHeight="241300"/>
  <slicer name="Product Name" xr10:uid="{2D600BC9-264C-46D2-ACCE-2FC7B0D9EC17}" cache="Slicer_Product_Name" caption="Product Name" style="SlicerStyleDark5" rowHeight="241300"/>
  <slicer name="State" xr10:uid="{6B8FF81E-D7E7-4771-9080-04D0881CC6CF}" cache="Slicer_State" caption="Stat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7FAD36-1400-4139-8C46-B9D2F4DCFCAB}" name="Table1" displayName="Table1" ref="A1:Z1048576" totalsRowShown="0" headerRowDxfId="0" dataDxfId="1">
  <autoFilter ref="A1:Z1048576" xr:uid="{797FAD36-1400-4139-8C46-B9D2F4DCFC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97D80E7C-26A4-4803-9C96-899CE6AA7E10}" name="Order ID" dataDxfId="27"/>
    <tableColumn id="2" xr3:uid="{235B8710-6921-4F9E-96AA-8C3790532923}" name="Order Date" dataDxfId="26"/>
    <tableColumn id="3" xr3:uid="{EAC94EE6-8303-4BD5-99E1-623141386717}" name="Customer ID" dataDxfId="25"/>
    <tableColumn id="4" xr3:uid="{6BECB777-4A7A-4D7F-83B9-A1EAA55B589D}" name="Customer Name" dataDxfId="24"/>
    <tableColumn id="5" xr3:uid="{CB328D95-8309-473D-AA8B-25DDF2DA4DAF}" name="Address" dataDxfId="23"/>
    <tableColumn id="6" xr3:uid="{24760260-04EB-40D0-BFCD-BF2BEFBF7468}" name="City" dataDxfId="22"/>
    <tableColumn id="7" xr3:uid="{338D41D7-363A-4BC6-98CF-B5CD6C247CA8}" name="State" dataDxfId="21"/>
    <tableColumn id="8" xr3:uid="{EFCBBBAD-7D5F-402E-B238-FA522ECF37CD}" name="ZIP/Postal Code" dataDxfId="20"/>
    <tableColumn id="9" xr3:uid="{3FF7D2F5-74B6-4DEA-9DEF-598CD8016BCB}" name="Country/Region" dataDxfId="19"/>
    <tableColumn id="10" xr3:uid="{5482223C-FC7F-4C7C-B333-1FE9FCF8EFF9}" name="Salesperson" dataDxfId="18"/>
    <tableColumn id="11" xr3:uid="{2E09DADF-D30F-40EB-B8CA-F368DFCF4A6B}" name="Region" dataDxfId="17"/>
    <tableColumn id="12" xr3:uid="{3E20A161-1430-4F09-82DC-3C4EDA1F60E4}" name="Shipped Date" dataDxfId="16"/>
    <tableColumn id="13" xr3:uid="{8177C869-F9E6-44B1-B6B6-BE810E7F7B5A}" name="Shipper Name" dataDxfId="15"/>
    <tableColumn id="14" xr3:uid="{9AC89377-6A08-41BC-93AF-9D3FA5DC41F3}" name="Ship Name" dataDxfId="14"/>
    <tableColumn id="15" xr3:uid="{0181BA41-94BA-496C-B4B0-774A42B85C08}" name="Ship Address" dataDxfId="13"/>
    <tableColumn id="16" xr3:uid="{FA422309-B3DE-4DB1-BDC4-B2865F6A92CF}" name="Ship City" dataDxfId="12"/>
    <tableColumn id="17" xr3:uid="{2930F1FD-ADB1-491B-A5C0-AE0E811E0298}" name="Ship State" dataDxfId="11"/>
    <tableColumn id="18" xr3:uid="{367FB90D-92BD-47D3-9700-33889FF01CBE}" name="Ship ZIP/Postal Code" dataDxfId="10"/>
    <tableColumn id="19" xr3:uid="{197466C4-9C7B-4CEB-BB78-8957D087F6B0}" name="Ship Country/Region" dataDxfId="9"/>
    <tableColumn id="20" xr3:uid="{A478BF14-F132-4296-B936-76CFCA4D61FB}" name="Payment Type" dataDxfId="8"/>
    <tableColumn id="21" xr3:uid="{98FD9021-E538-4347-8A45-B5B196956350}" name="Product Name" dataDxfId="7"/>
    <tableColumn id="22" xr3:uid="{1BDA9204-BAFD-4391-891D-4F7FEF6EA304}" name="Category" dataDxfId="6"/>
    <tableColumn id="23" xr3:uid="{89306EDF-AD4D-4648-91C6-D6609102246A}" name="Unit Price" dataDxfId="5"/>
    <tableColumn id="24" xr3:uid="{C19FF147-751C-4F85-8656-C6DE4963891E}" name="Quantity" dataDxfId="4"/>
    <tableColumn id="25" xr3:uid="{A38AC945-9A28-4429-9C0C-8A98B02E7FFF}" name="Revenue" dataDxfId="3"/>
    <tableColumn id="26" xr3:uid="{E723F3F1-079A-4B9D-86DE-BD7DE4DAD638}" name="Shipping Fee" dataDxfId="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Garamond">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8.bin"/><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zoomScale="60" zoomScaleNormal="60" workbookViewId="0">
      <selection activeCell="A13" sqref="A13"/>
    </sheetView>
  </sheetViews>
  <sheetFormatPr defaultRowHeight="14.5" x14ac:dyDescent="0.35"/>
  <cols>
    <col min="1" max="1" width="66.5" customWidth="1"/>
    <col min="3" max="3" width="10.09765625" customWidth="1"/>
  </cols>
  <sheetData>
    <row r="2" spans="1:1" ht="20.5" x14ac:dyDescent="0.45">
      <c r="A2" s="3" t="s">
        <v>161</v>
      </c>
    </row>
    <row r="3" spans="1:1" ht="68.25" customHeight="1" x14ac:dyDescent="0.35">
      <c r="A3" s="5" t="s">
        <v>162</v>
      </c>
    </row>
    <row r="4" spans="1:1" ht="20.5" x14ac:dyDescent="0.45">
      <c r="A4" s="4" t="s">
        <v>156</v>
      </c>
    </row>
    <row r="5" spans="1:1" ht="20.5" x14ac:dyDescent="0.45">
      <c r="A5" s="4" t="s">
        <v>157</v>
      </c>
    </row>
    <row r="6" spans="1:1" ht="20.5" x14ac:dyDescent="0.45">
      <c r="A6" s="4" t="s">
        <v>158</v>
      </c>
    </row>
    <row r="7" spans="1:1" ht="20.5" x14ac:dyDescent="0.45">
      <c r="A7" s="4" t="s">
        <v>159</v>
      </c>
    </row>
    <row r="8" spans="1:1" ht="20.5" x14ac:dyDescent="0.45">
      <c r="A8" s="4" t="s">
        <v>184</v>
      </c>
    </row>
    <row r="9" spans="1:1" ht="20.5" x14ac:dyDescent="0.45">
      <c r="A9" s="4" t="s">
        <v>160</v>
      </c>
    </row>
    <row r="10" spans="1:1" ht="20.5" x14ac:dyDescent="0.45">
      <c r="A10" s="4" t="s">
        <v>163</v>
      </c>
    </row>
    <row r="11" spans="1:1" ht="20.5" x14ac:dyDescent="0.45">
      <c r="A11" s="4" t="s">
        <v>164</v>
      </c>
    </row>
    <row r="12" spans="1:1" ht="20.5" x14ac:dyDescent="0.45">
      <c r="A12" s="4" t="s">
        <v>165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abSelected="1" topLeftCell="P1" zoomScale="90" zoomScaleNormal="90" workbookViewId="0">
      <pane ySplit="1" topLeftCell="A2" activePane="bottomLeft" state="frozen"/>
      <selection pane="bottomLeft" sqref="A1:Z1048576"/>
    </sheetView>
  </sheetViews>
  <sheetFormatPr defaultRowHeight="14.5" x14ac:dyDescent="0.35"/>
  <cols>
    <col min="1" max="1" width="11.8984375" style="7" customWidth="1"/>
    <col min="2" max="2" width="13.796875" style="7" customWidth="1"/>
    <col min="3" max="3" width="15.296875" style="7" customWidth="1"/>
    <col min="4" max="4" width="18.3984375" style="7" customWidth="1"/>
    <col min="5" max="5" width="14.296875" style="7" customWidth="1"/>
    <col min="6" max="6" width="12.59765625" style="7" customWidth="1"/>
    <col min="7" max="7" width="7.69921875" style="7" customWidth="1"/>
    <col min="8" max="8" width="19.19921875" style="7" customWidth="1"/>
    <col min="9" max="9" width="18.69921875" style="7" customWidth="1"/>
    <col min="10" max="10" width="19.796875" style="7" customWidth="1"/>
    <col min="11" max="11" width="9.8984375" style="7" customWidth="1"/>
    <col min="12" max="12" width="15.8984375" style="7" customWidth="1"/>
    <col min="13" max="13" width="19.5" style="7" customWidth="1"/>
    <col min="14" max="14" width="21.59765625" style="7" customWidth="1"/>
    <col min="15" max="15" width="15.296875" style="7" customWidth="1"/>
    <col min="16" max="16" width="12.59765625" style="7" customWidth="1"/>
    <col min="17" max="17" width="12.3984375" style="7" customWidth="1"/>
    <col min="18" max="18" width="24" style="7" customWidth="1"/>
    <col min="19" max="19" width="23.3984375" style="7" customWidth="1"/>
    <col min="20" max="20" width="16.59765625" style="7" customWidth="1"/>
    <col min="21" max="21" width="21.09765625" style="7" customWidth="1"/>
    <col min="22" max="22" width="25.09765625" style="7" customWidth="1"/>
    <col min="23" max="23" width="12.69921875" style="7" customWidth="1"/>
    <col min="24" max="24" width="11.3984375" style="7" customWidth="1"/>
    <col min="25" max="25" width="19.59765625" style="7" customWidth="1"/>
    <col min="26" max="26" width="15.59765625" style="7" customWidth="1"/>
  </cols>
  <sheetData>
    <row r="1" spans="1:26"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spans="1:26" x14ac:dyDescent="0.35">
      <c r="A2" s="7">
        <v>1001</v>
      </c>
      <c r="B2" s="8">
        <v>41666</v>
      </c>
      <c r="C2" s="7">
        <v>27</v>
      </c>
      <c r="D2" s="7" t="s">
        <v>26</v>
      </c>
      <c r="E2" s="7" t="s">
        <v>27</v>
      </c>
      <c r="F2" s="7" t="s">
        <v>28</v>
      </c>
      <c r="G2" s="7" t="s">
        <v>29</v>
      </c>
      <c r="H2" s="7">
        <v>99999</v>
      </c>
      <c r="I2" s="7" t="s">
        <v>30</v>
      </c>
      <c r="J2" s="7" t="s">
        <v>31</v>
      </c>
      <c r="K2" s="7" t="s">
        <v>32</v>
      </c>
      <c r="L2" s="8">
        <v>41668</v>
      </c>
      <c r="M2" s="7" t="s">
        <v>33</v>
      </c>
      <c r="N2" s="7" t="s">
        <v>34</v>
      </c>
      <c r="O2" s="7" t="s">
        <v>27</v>
      </c>
      <c r="P2" s="7" t="s">
        <v>28</v>
      </c>
      <c r="Q2" s="7" t="s">
        <v>29</v>
      </c>
      <c r="R2" s="7">
        <v>99999</v>
      </c>
      <c r="S2" s="7" t="s">
        <v>30</v>
      </c>
      <c r="T2" s="7" t="s">
        <v>35</v>
      </c>
      <c r="U2" s="7" t="s">
        <v>36</v>
      </c>
      <c r="V2" s="7" t="s">
        <v>37</v>
      </c>
      <c r="W2" s="9">
        <v>14</v>
      </c>
      <c r="X2" s="7">
        <v>49</v>
      </c>
      <c r="Y2" s="10">
        <v>686</v>
      </c>
      <c r="Z2" s="9">
        <v>66.542000000000002</v>
      </c>
    </row>
    <row r="3" spans="1:26" x14ac:dyDescent="0.35">
      <c r="A3" s="7">
        <v>1002</v>
      </c>
      <c r="B3" s="8">
        <v>41666</v>
      </c>
      <c r="C3" s="7">
        <v>27</v>
      </c>
      <c r="D3" s="7" t="s">
        <v>26</v>
      </c>
      <c r="E3" s="7" t="s">
        <v>27</v>
      </c>
      <c r="F3" s="7" t="s">
        <v>28</v>
      </c>
      <c r="G3" s="7" t="s">
        <v>29</v>
      </c>
      <c r="H3" s="7">
        <v>99999</v>
      </c>
      <c r="I3" s="7" t="s">
        <v>30</v>
      </c>
      <c r="J3" s="7" t="s">
        <v>31</v>
      </c>
      <c r="K3" s="7" t="s">
        <v>32</v>
      </c>
      <c r="L3" s="8">
        <v>41668</v>
      </c>
      <c r="M3" s="7" t="s">
        <v>33</v>
      </c>
      <c r="N3" s="7" t="s">
        <v>34</v>
      </c>
      <c r="O3" s="7" t="s">
        <v>27</v>
      </c>
      <c r="P3" s="7" t="s">
        <v>28</v>
      </c>
      <c r="Q3" s="7" t="s">
        <v>29</v>
      </c>
      <c r="R3" s="7">
        <v>99999</v>
      </c>
      <c r="S3" s="7" t="s">
        <v>30</v>
      </c>
      <c r="T3" s="7" t="s">
        <v>35</v>
      </c>
      <c r="U3" s="7" t="s">
        <v>38</v>
      </c>
      <c r="V3" s="7" t="s">
        <v>39</v>
      </c>
      <c r="W3" s="9">
        <v>3.5</v>
      </c>
      <c r="X3" s="7">
        <v>47</v>
      </c>
      <c r="Y3" s="10">
        <v>164.5</v>
      </c>
      <c r="Z3" s="9">
        <v>16.6145</v>
      </c>
    </row>
    <row r="4" spans="1:26" x14ac:dyDescent="0.35">
      <c r="A4" s="7">
        <v>1003</v>
      </c>
      <c r="B4" s="8">
        <v>41643</v>
      </c>
      <c r="C4" s="7">
        <v>4</v>
      </c>
      <c r="D4" s="7" t="s">
        <v>40</v>
      </c>
      <c r="E4" s="7" t="s">
        <v>41</v>
      </c>
      <c r="F4" s="7" t="s">
        <v>42</v>
      </c>
      <c r="G4" s="7" t="s">
        <v>43</v>
      </c>
      <c r="H4" s="7">
        <v>99999</v>
      </c>
      <c r="I4" s="7" t="s">
        <v>30</v>
      </c>
      <c r="J4" s="7" t="s">
        <v>44</v>
      </c>
      <c r="K4" s="7" t="s">
        <v>45</v>
      </c>
      <c r="L4" s="8">
        <v>41645</v>
      </c>
      <c r="M4" s="7" t="s">
        <v>46</v>
      </c>
      <c r="N4" s="7" t="s">
        <v>47</v>
      </c>
      <c r="O4" s="7" t="s">
        <v>41</v>
      </c>
      <c r="P4" s="7" t="s">
        <v>42</v>
      </c>
      <c r="Q4" s="7" t="s">
        <v>43</v>
      </c>
      <c r="R4" s="7">
        <v>99999</v>
      </c>
      <c r="S4" s="7" t="s">
        <v>30</v>
      </c>
      <c r="T4" s="7" t="s">
        <v>48</v>
      </c>
      <c r="U4" s="7" t="s">
        <v>49</v>
      </c>
      <c r="V4" s="7" t="s">
        <v>39</v>
      </c>
      <c r="W4" s="9">
        <v>30</v>
      </c>
      <c r="X4" s="7">
        <v>69</v>
      </c>
      <c r="Y4" s="10">
        <v>2070</v>
      </c>
      <c r="Z4" s="9">
        <v>198.72</v>
      </c>
    </row>
    <row r="5" spans="1:26" x14ac:dyDescent="0.35">
      <c r="A5" s="7">
        <v>1004</v>
      </c>
      <c r="B5" s="8">
        <v>41643</v>
      </c>
      <c r="C5" s="7">
        <v>4</v>
      </c>
      <c r="D5" s="7" t="s">
        <v>40</v>
      </c>
      <c r="E5" s="7" t="s">
        <v>41</v>
      </c>
      <c r="F5" s="7" t="s">
        <v>42</v>
      </c>
      <c r="G5" s="7" t="s">
        <v>43</v>
      </c>
      <c r="H5" s="7">
        <v>99999</v>
      </c>
      <c r="I5" s="7" t="s">
        <v>30</v>
      </c>
      <c r="J5" s="7" t="s">
        <v>44</v>
      </c>
      <c r="K5" s="7" t="s">
        <v>45</v>
      </c>
      <c r="L5" s="8">
        <v>41645</v>
      </c>
      <c r="M5" s="7" t="s">
        <v>46</v>
      </c>
      <c r="N5" s="7" t="s">
        <v>47</v>
      </c>
      <c r="O5" s="7" t="s">
        <v>41</v>
      </c>
      <c r="P5" s="7" t="s">
        <v>42</v>
      </c>
      <c r="Q5" s="7" t="s">
        <v>43</v>
      </c>
      <c r="R5" s="7">
        <v>99999</v>
      </c>
      <c r="S5" s="7" t="s">
        <v>30</v>
      </c>
      <c r="T5" s="7" t="s">
        <v>48</v>
      </c>
      <c r="U5" s="7" t="s">
        <v>50</v>
      </c>
      <c r="V5" s="7" t="s">
        <v>39</v>
      </c>
      <c r="W5" s="9">
        <v>53</v>
      </c>
      <c r="X5" s="7">
        <v>89</v>
      </c>
      <c r="Y5" s="10">
        <v>4717</v>
      </c>
      <c r="Z5" s="9">
        <v>448.11500000000001</v>
      </c>
    </row>
    <row r="6" spans="1:26" x14ac:dyDescent="0.35">
      <c r="A6" s="7">
        <v>1005</v>
      </c>
      <c r="B6" s="8">
        <v>41643</v>
      </c>
      <c r="C6" s="7">
        <v>4</v>
      </c>
      <c r="D6" s="7" t="s">
        <v>40</v>
      </c>
      <c r="E6" s="7" t="s">
        <v>41</v>
      </c>
      <c r="F6" s="7" t="s">
        <v>42</v>
      </c>
      <c r="G6" s="7" t="s">
        <v>43</v>
      </c>
      <c r="H6" s="7">
        <v>99999</v>
      </c>
      <c r="I6" s="7" t="s">
        <v>30</v>
      </c>
      <c r="J6" s="7" t="s">
        <v>44</v>
      </c>
      <c r="K6" s="7" t="s">
        <v>45</v>
      </c>
      <c r="L6" s="8">
        <v>41645</v>
      </c>
      <c r="M6" s="7" t="s">
        <v>46</v>
      </c>
      <c r="N6" s="7" t="s">
        <v>47</v>
      </c>
      <c r="O6" s="7" t="s">
        <v>41</v>
      </c>
      <c r="P6" s="7" t="s">
        <v>42</v>
      </c>
      <c r="Q6" s="7" t="s">
        <v>43</v>
      </c>
      <c r="R6" s="7">
        <v>99999</v>
      </c>
      <c r="S6" s="7" t="s">
        <v>30</v>
      </c>
      <c r="T6" s="7" t="s">
        <v>48</v>
      </c>
      <c r="U6" s="7" t="s">
        <v>38</v>
      </c>
      <c r="V6" s="7" t="s">
        <v>39</v>
      </c>
      <c r="W6" s="9">
        <v>3.5</v>
      </c>
      <c r="X6" s="7">
        <v>11</v>
      </c>
      <c r="Y6" s="10">
        <v>38.5</v>
      </c>
      <c r="Z6" s="9">
        <v>3.7345000000000002</v>
      </c>
    </row>
    <row r="7" spans="1:26" x14ac:dyDescent="0.35">
      <c r="A7" s="7">
        <v>1006</v>
      </c>
      <c r="B7" s="8">
        <v>41651</v>
      </c>
      <c r="C7" s="7">
        <v>12</v>
      </c>
      <c r="D7" s="7" t="s">
        <v>51</v>
      </c>
      <c r="E7" s="7" t="s">
        <v>52</v>
      </c>
      <c r="F7" s="7" t="s">
        <v>28</v>
      </c>
      <c r="G7" s="7" t="s">
        <v>29</v>
      </c>
      <c r="H7" s="7">
        <v>99999</v>
      </c>
      <c r="I7" s="7" t="s">
        <v>30</v>
      </c>
      <c r="J7" s="7" t="s">
        <v>31</v>
      </c>
      <c r="K7" s="7" t="s">
        <v>32</v>
      </c>
      <c r="L7" s="8">
        <v>41653</v>
      </c>
      <c r="M7" s="7" t="s">
        <v>33</v>
      </c>
      <c r="N7" s="7" t="s">
        <v>53</v>
      </c>
      <c r="O7" s="7" t="s">
        <v>52</v>
      </c>
      <c r="P7" s="7" t="s">
        <v>28</v>
      </c>
      <c r="Q7" s="7" t="s">
        <v>29</v>
      </c>
      <c r="R7" s="7">
        <v>99999</v>
      </c>
      <c r="S7" s="7" t="s">
        <v>30</v>
      </c>
      <c r="T7" s="7" t="s">
        <v>48</v>
      </c>
      <c r="U7" s="7" t="s">
        <v>54</v>
      </c>
      <c r="V7" s="7" t="s">
        <v>37</v>
      </c>
      <c r="W7" s="9">
        <v>18</v>
      </c>
      <c r="X7" s="7">
        <v>81</v>
      </c>
      <c r="Y7" s="10">
        <v>1458</v>
      </c>
      <c r="Z7" s="9">
        <v>141.42600000000002</v>
      </c>
    </row>
    <row r="8" spans="1:26" x14ac:dyDescent="0.35">
      <c r="A8" s="7">
        <v>1007</v>
      </c>
      <c r="B8" s="8">
        <v>41651</v>
      </c>
      <c r="C8" s="7">
        <v>12</v>
      </c>
      <c r="D8" s="7" t="s">
        <v>51</v>
      </c>
      <c r="E8" s="7" t="s">
        <v>52</v>
      </c>
      <c r="F8" s="7" t="s">
        <v>28</v>
      </c>
      <c r="G8" s="7" t="s">
        <v>29</v>
      </c>
      <c r="H8" s="7">
        <v>99999</v>
      </c>
      <c r="I8" s="7" t="s">
        <v>30</v>
      </c>
      <c r="J8" s="7" t="s">
        <v>31</v>
      </c>
      <c r="K8" s="7" t="s">
        <v>32</v>
      </c>
      <c r="L8" s="8">
        <v>41653</v>
      </c>
      <c r="M8" s="7" t="s">
        <v>33</v>
      </c>
      <c r="N8" s="7" t="s">
        <v>53</v>
      </c>
      <c r="O8" s="7" t="s">
        <v>52</v>
      </c>
      <c r="P8" s="7" t="s">
        <v>28</v>
      </c>
      <c r="Q8" s="7" t="s">
        <v>29</v>
      </c>
      <c r="R8" s="7">
        <v>99999</v>
      </c>
      <c r="S8" s="7" t="s">
        <v>30</v>
      </c>
      <c r="T8" s="7" t="s">
        <v>48</v>
      </c>
      <c r="U8" s="7" t="s">
        <v>55</v>
      </c>
      <c r="V8" s="7" t="s">
        <v>37</v>
      </c>
      <c r="W8" s="9">
        <v>46</v>
      </c>
      <c r="X8" s="7">
        <v>44</v>
      </c>
      <c r="Y8" s="10">
        <v>2024</v>
      </c>
      <c r="Z8" s="9">
        <v>198.352</v>
      </c>
    </row>
    <row r="9" spans="1:26" x14ac:dyDescent="0.35">
      <c r="A9" s="7">
        <v>1008</v>
      </c>
      <c r="B9" s="8">
        <v>41647</v>
      </c>
      <c r="C9" s="7">
        <v>8</v>
      </c>
      <c r="D9" s="7" t="s">
        <v>56</v>
      </c>
      <c r="E9" s="7" t="s">
        <v>57</v>
      </c>
      <c r="F9" s="7" t="s">
        <v>58</v>
      </c>
      <c r="G9" s="7" t="s">
        <v>59</v>
      </c>
      <c r="H9" s="7">
        <v>99999</v>
      </c>
      <c r="I9" s="7" t="s">
        <v>30</v>
      </c>
      <c r="J9" s="7" t="s">
        <v>60</v>
      </c>
      <c r="K9" s="7" t="s">
        <v>61</v>
      </c>
      <c r="L9" s="8">
        <v>41649</v>
      </c>
      <c r="M9" s="7" t="s">
        <v>62</v>
      </c>
      <c r="N9" s="7" t="s">
        <v>63</v>
      </c>
      <c r="O9" s="7" t="s">
        <v>57</v>
      </c>
      <c r="P9" s="7" t="s">
        <v>58</v>
      </c>
      <c r="Q9" s="7" t="s">
        <v>59</v>
      </c>
      <c r="R9" s="7">
        <v>99999</v>
      </c>
      <c r="S9" s="7" t="s">
        <v>30</v>
      </c>
      <c r="T9" s="7" t="s">
        <v>48</v>
      </c>
      <c r="U9" s="7" t="s">
        <v>64</v>
      </c>
      <c r="V9" s="7" t="s">
        <v>65</v>
      </c>
      <c r="W9" s="9">
        <v>9.1999999999999993</v>
      </c>
      <c r="X9" s="7">
        <v>38</v>
      </c>
      <c r="Y9" s="10">
        <v>349.59999999999997</v>
      </c>
      <c r="Z9" s="9">
        <v>36.008800000000001</v>
      </c>
    </row>
    <row r="10" spans="1:26" x14ac:dyDescent="0.35">
      <c r="A10" s="7">
        <v>1009</v>
      </c>
      <c r="B10" s="8">
        <v>41643</v>
      </c>
      <c r="C10" s="7">
        <v>4</v>
      </c>
      <c r="D10" s="7" t="s">
        <v>40</v>
      </c>
      <c r="E10" s="7" t="s">
        <v>41</v>
      </c>
      <c r="F10" s="7" t="s">
        <v>42</v>
      </c>
      <c r="G10" s="7" t="s">
        <v>43</v>
      </c>
      <c r="H10" s="7">
        <v>99999</v>
      </c>
      <c r="I10" s="7" t="s">
        <v>30</v>
      </c>
      <c r="J10" s="7" t="s">
        <v>44</v>
      </c>
      <c r="K10" s="7" t="s">
        <v>45</v>
      </c>
      <c r="L10" s="8">
        <v>41645</v>
      </c>
      <c r="M10" s="7" t="s">
        <v>62</v>
      </c>
      <c r="N10" s="7" t="s">
        <v>47</v>
      </c>
      <c r="O10" s="7" t="s">
        <v>41</v>
      </c>
      <c r="P10" s="7" t="s">
        <v>42</v>
      </c>
      <c r="Q10" s="7" t="s">
        <v>43</v>
      </c>
      <c r="R10" s="7">
        <v>99999</v>
      </c>
      <c r="S10" s="7" t="s">
        <v>30</v>
      </c>
      <c r="T10" s="7" t="s">
        <v>35</v>
      </c>
      <c r="U10" s="7" t="s">
        <v>64</v>
      </c>
      <c r="V10" s="7" t="s">
        <v>65</v>
      </c>
      <c r="W10" s="9">
        <v>9.1999999999999993</v>
      </c>
      <c r="X10" s="7">
        <v>88</v>
      </c>
      <c r="Y10" s="10">
        <v>809.59999999999991</v>
      </c>
      <c r="Z10" s="9">
        <v>79.340799999999987</v>
      </c>
    </row>
    <row r="11" spans="1:26" x14ac:dyDescent="0.35">
      <c r="A11" s="7">
        <v>1010</v>
      </c>
      <c r="B11" s="8">
        <v>41668</v>
      </c>
      <c r="C11" s="7">
        <v>29</v>
      </c>
      <c r="D11" s="7" t="s">
        <v>66</v>
      </c>
      <c r="E11" s="7" t="s">
        <v>67</v>
      </c>
      <c r="F11" s="7" t="s">
        <v>68</v>
      </c>
      <c r="G11" s="7" t="s">
        <v>69</v>
      </c>
      <c r="H11" s="7">
        <v>99999</v>
      </c>
      <c r="I11" s="7" t="s">
        <v>30</v>
      </c>
      <c r="J11" s="7" t="s">
        <v>70</v>
      </c>
      <c r="K11" s="7" t="s">
        <v>32</v>
      </c>
      <c r="L11" s="8">
        <v>41670</v>
      </c>
      <c r="M11" s="7" t="s">
        <v>33</v>
      </c>
      <c r="N11" s="7" t="s">
        <v>71</v>
      </c>
      <c r="O11" s="7" t="s">
        <v>67</v>
      </c>
      <c r="P11" s="7" t="s">
        <v>68</v>
      </c>
      <c r="Q11" s="7" t="s">
        <v>69</v>
      </c>
      <c r="R11" s="7">
        <v>99999</v>
      </c>
      <c r="S11" s="7" t="s">
        <v>30</v>
      </c>
      <c r="T11" s="7" t="s">
        <v>35</v>
      </c>
      <c r="U11" s="7" t="s">
        <v>72</v>
      </c>
      <c r="V11" s="7" t="s">
        <v>73</v>
      </c>
      <c r="W11" s="9">
        <v>12.75</v>
      </c>
      <c r="X11" s="7">
        <v>94</v>
      </c>
      <c r="Y11" s="10">
        <v>1198.5</v>
      </c>
      <c r="Z11" s="9">
        <v>122.24700000000001</v>
      </c>
    </row>
    <row r="12" spans="1:26" x14ac:dyDescent="0.35">
      <c r="A12" s="7">
        <v>1011</v>
      </c>
      <c r="B12" s="8">
        <v>41642</v>
      </c>
      <c r="C12" s="7">
        <v>3</v>
      </c>
      <c r="D12" s="7" t="s">
        <v>74</v>
      </c>
      <c r="E12" s="7" t="s">
        <v>75</v>
      </c>
      <c r="F12" s="7" t="s">
        <v>76</v>
      </c>
      <c r="G12" s="7" t="s">
        <v>77</v>
      </c>
      <c r="H12" s="7">
        <v>99999</v>
      </c>
      <c r="I12" s="7" t="s">
        <v>30</v>
      </c>
      <c r="J12" s="7" t="s">
        <v>31</v>
      </c>
      <c r="K12" s="7" t="s">
        <v>32</v>
      </c>
      <c r="L12" s="8">
        <v>41644</v>
      </c>
      <c r="M12" s="7" t="s">
        <v>33</v>
      </c>
      <c r="N12" s="7" t="s">
        <v>78</v>
      </c>
      <c r="O12" s="7" t="s">
        <v>75</v>
      </c>
      <c r="P12" s="7" t="s">
        <v>76</v>
      </c>
      <c r="Q12" s="7" t="s">
        <v>77</v>
      </c>
      <c r="R12" s="7">
        <v>99999</v>
      </c>
      <c r="S12" s="7" t="s">
        <v>30</v>
      </c>
      <c r="T12" s="7" t="s">
        <v>79</v>
      </c>
      <c r="U12" s="7" t="s">
        <v>80</v>
      </c>
      <c r="V12" s="7" t="s">
        <v>81</v>
      </c>
      <c r="W12" s="9">
        <v>9.65</v>
      </c>
      <c r="X12" s="7">
        <v>91</v>
      </c>
      <c r="Y12" s="10">
        <v>878.15</v>
      </c>
      <c r="Z12" s="9">
        <v>92.205749999999995</v>
      </c>
    </row>
    <row r="13" spans="1:26" x14ac:dyDescent="0.35">
      <c r="A13" s="7">
        <v>1012</v>
      </c>
      <c r="B13" s="8">
        <v>41645</v>
      </c>
      <c r="C13" s="7">
        <v>6</v>
      </c>
      <c r="D13" s="7" t="s">
        <v>82</v>
      </c>
      <c r="E13" s="7" t="s">
        <v>83</v>
      </c>
      <c r="F13" s="7" t="s">
        <v>84</v>
      </c>
      <c r="G13" s="7" t="s">
        <v>85</v>
      </c>
      <c r="H13" s="7">
        <v>99999</v>
      </c>
      <c r="I13" s="7" t="s">
        <v>30</v>
      </c>
      <c r="J13" s="7" t="s">
        <v>86</v>
      </c>
      <c r="K13" s="7" t="s">
        <v>61</v>
      </c>
      <c r="L13" s="8">
        <v>41647</v>
      </c>
      <c r="M13" s="7" t="s">
        <v>33</v>
      </c>
      <c r="N13" s="7" t="s">
        <v>87</v>
      </c>
      <c r="O13" s="7" t="s">
        <v>83</v>
      </c>
      <c r="P13" s="7" t="s">
        <v>84</v>
      </c>
      <c r="Q13" s="7" t="s">
        <v>85</v>
      </c>
      <c r="R13" s="7">
        <v>99999</v>
      </c>
      <c r="S13" s="7" t="s">
        <v>30</v>
      </c>
      <c r="T13" s="7" t="s">
        <v>48</v>
      </c>
      <c r="U13" s="7" t="s">
        <v>88</v>
      </c>
      <c r="V13" s="7" t="s">
        <v>89</v>
      </c>
      <c r="W13" s="9">
        <v>40</v>
      </c>
      <c r="X13" s="7">
        <v>32</v>
      </c>
      <c r="Y13" s="10">
        <v>1280</v>
      </c>
      <c r="Z13" s="9">
        <v>133.12</v>
      </c>
    </row>
    <row r="14" spans="1:26" x14ac:dyDescent="0.35">
      <c r="A14" s="7">
        <v>1013</v>
      </c>
      <c r="B14" s="8">
        <v>41667</v>
      </c>
      <c r="C14" s="7">
        <v>28</v>
      </c>
      <c r="D14" s="7" t="s">
        <v>90</v>
      </c>
      <c r="E14" s="7" t="s">
        <v>91</v>
      </c>
      <c r="F14" s="7" t="s">
        <v>92</v>
      </c>
      <c r="G14" s="7" t="s">
        <v>93</v>
      </c>
      <c r="H14" s="7">
        <v>99999</v>
      </c>
      <c r="I14" s="7" t="s">
        <v>30</v>
      </c>
      <c r="J14" s="7" t="s">
        <v>94</v>
      </c>
      <c r="K14" s="7" t="s">
        <v>95</v>
      </c>
      <c r="L14" s="8">
        <v>41669</v>
      </c>
      <c r="M14" s="7" t="s">
        <v>62</v>
      </c>
      <c r="N14" s="7" t="s">
        <v>96</v>
      </c>
      <c r="O14" s="7" t="s">
        <v>91</v>
      </c>
      <c r="P14" s="7" t="s">
        <v>92</v>
      </c>
      <c r="Q14" s="7" t="s">
        <v>93</v>
      </c>
      <c r="R14" s="7">
        <v>99999</v>
      </c>
      <c r="S14" s="7" t="s">
        <v>166</v>
      </c>
      <c r="T14" s="7" t="s">
        <v>35</v>
      </c>
      <c r="U14" s="7" t="s">
        <v>55</v>
      </c>
      <c r="V14" s="7" t="s">
        <v>37</v>
      </c>
      <c r="W14" s="9">
        <v>46</v>
      </c>
      <c r="X14" s="7">
        <v>55</v>
      </c>
      <c r="Y14" s="10">
        <v>2530</v>
      </c>
      <c r="Z14" s="9">
        <v>253</v>
      </c>
    </row>
    <row r="15" spans="1:26" x14ac:dyDescent="0.35">
      <c r="A15" s="7">
        <v>1014</v>
      </c>
      <c r="B15" s="8">
        <v>41647</v>
      </c>
      <c r="C15" s="7">
        <v>8</v>
      </c>
      <c r="D15" s="7" t="s">
        <v>56</v>
      </c>
      <c r="E15" s="7" t="s">
        <v>57</v>
      </c>
      <c r="F15" s="7" t="s">
        <v>58</v>
      </c>
      <c r="G15" s="7" t="s">
        <v>59</v>
      </c>
      <c r="H15" s="7">
        <v>99999</v>
      </c>
      <c r="I15" s="7" t="s">
        <v>30</v>
      </c>
      <c r="J15" s="7" t="s">
        <v>60</v>
      </c>
      <c r="K15" s="7" t="s">
        <v>61</v>
      </c>
      <c r="L15" s="8">
        <v>41649</v>
      </c>
      <c r="M15" s="7" t="s">
        <v>62</v>
      </c>
      <c r="N15" s="7" t="s">
        <v>63</v>
      </c>
      <c r="O15" s="7" t="s">
        <v>57</v>
      </c>
      <c r="P15" s="7" t="s">
        <v>58</v>
      </c>
      <c r="Q15" s="7" t="s">
        <v>59</v>
      </c>
      <c r="R15" s="7">
        <v>99999</v>
      </c>
      <c r="S15" s="7" t="s">
        <v>30</v>
      </c>
      <c r="T15" s="7" t="s">
        <v>35</v>
      </c>
      <c r="U15" s="7" t="s">
        <v>72</v>
      </c>
      <c r="V15" s="7" t="s">
        <v>73</v>
      </c>
      <c r="W15" s="9">
        <v>12.75</v>
      </c>
      <c r="X15" s="7">
        <v>47</v>
      </c>
      <c r="Y15" s="10">
        <v>599.25</v>
      </c>
      <c r="Z15" s="9">
        <v>61.722750000000005</v>
      </c>
    </row>
    <row r="16" spans="1:26" x14ac:dyDescent="0.35">
      <c r="A16" s="7">
        <v>1015</v>
      </c>
      <c r="B16" s="8">
        <v>41649</v>
      </c>
      <c r="C16" s="7">
        <v>10</v>
      </c>
      <c r="D16" s="7" t="s">
        <v>97</v>
      </c>
      <c r="E16" s="7" t="s">
        <v>98</v>
      </c>
      <c r="F16" s="7" t="s">
        <v>99</v>
      </c>
      <c r="G16" s="7" t="s">
        <v>100</v>
      </c>
      <c r="H16" s="7">
        <v>99999</v>
      </c>
      <c r="I16" s="7" t="s">
        <v>30</v>
      </c>
      <c r="J16" s="7" t="s">
        <v>101</v>
      </c>
      <c r="K16" s="7" t="s">
        <v>45</v>
      </c>
      <c r="L16" s="8">
        <v>41651</v>
      </c>
      <c r="M16" s="7" t="s">
        <v>33</v>
      </c>
      <c r="N16" s="7" t="s">
        <v>102</v>
      </c>
      <c r="O16" s="7" t="s">
        <v>98</v>
      </c>
      <c r="P16" s="7" t="s">
        <v>99</v>
      </c>
      <c r="Q16" s="7" t="s">
        <v>100</v>
      </c>
      <c r="R16" s="7">
        <v>99999</v>
      </c>
      <c r="S16" s="7" t="s">
        <v>30</v>
      </c>
      <c r="T16" s="7" t="s">
        <v>48</v>
      </c>
      <c r="U16" s="7" t="s">
        <v>103</v>
      </c>
      <c r="V16" s="7" t="s">
        <v>37</v>
      </c>
      <c r="W16" s="9">
        <v>2.99</v>
      </c>
      <c r="X16" s="7">
        <v>90</v>
      </c>
      <c r="Y16" s="10">
        <v>269.10000000000002</v>
      </c>
      <c r="Z16" s="9">
        <v>27.717300000000005</v>
      </c>
    </row>
    <row r="17" spans="1:26" x14ac:dyDescent="0.35">
      <c r="A17" s="7">
        <v>1016</v>
      </c>
      <c r="B17" s="8">
        <v>41646</v>
      </c>
      <c r="C17" s="7">
        <v>7</v>
      </c>
      <c r="D17" s="7" t="s">
        <v>104</v>
      </c>
      <c r="E17" s="7" t="s">
        <v>105</v>
      </c>
      <c r="F17" s="7" t="s">
        <v>106</v>
      </c>
      <c r="G17" s="7" t="s">
        <v>107</v>
      </c>
      <c r="H17" s="7">
        <v>99999</v>
      </c>
      <c r="I17" s="7" t="s">
        <v>30</v>
      </c>
      <c r="J17" s="7" t="s">
        <v>60</v>
      </c>
      <c r="K17" s="7" t="s">
        <v>61</v>
      </c>
      <c r="N17" s="7" t="s">
        <v>108</v>
      </c>
      <c r="O17" s="7" t="s">
        <v>105</v>
      </c>
      <c r="P17" s="7" t="s">
        <v>106</v>
      </c>
      <c r="Q17" s="7" t="s">
        <v>107</v>
      </c>
      <c r="R17" s="7">
        <v>99999</v>
      </c>
      <c r="S17" s="7" t="s">
        <v>30</v>
      </c>
      <c r="U17" s="7" t="s">
        <v>55</v>
      </c>
      <c r="V17" s="7" t="s">
        <v>37</v>
      </c>
      <c r="W17" s="9">
        <v>46</v>
      </c>
      <c r="X17" s="7">
        <v>24</v>
      </c>
      <c r="Y17" s="10">
        <v>1104</v>
      </c>
      <c r="Z17" s="9">
        <v>110.4</v>
      </c>
    </row>
    <row r="18" spans="1:26" x14ac:dyDescent="0.35">
      <c r="A18" s="7">
        <v>1017</v>
      </c>
      <c r="B18" s="8">
        <v>41649</v>
      </c>
      <c r="C18" s="7">
        <v>10</v>
      </c>
      <c r="D18" s="7" t="s">
        <v>97</v>
      </c>
      <c r="E18" s="7" t="s">
        <v>98</v>
      </c>
      <c r="F18" s="7" t="s">
        <v>99</v>
      </c>
      <c r="G18" s="7" t="s">
        <v>100</v>
      </c>
      <c r="H18" s="7">
        <v>99999</v>
      </c>
      <c r="I18" s="7" t="s">
        <v>30</v>
      </c>
      <c r="J18" s="7" t="s">
        <v>101</v>
      </c>
      <c r="K18" s="7" t="s">
        <v>45</v>
      </c>
      <c r="L18" s="8">
        <v>41651</v>
      </c>
      <c r="M18" s="7" t="s">
        <v>46</v>
      </c>
      <c r="N18" s="7" t="s">
        <v>102</v>
      </c>
      <c r="O18" s="7" t="s">
        <v>98</v>
      </c>
      <c r="P18" s="7" t="s">
        <v>99</v>
      </c>
      <c r="Q18" s="7" t="s">
        <v>100</v>
      </c>
      <c r="R18" s="7">
        <v>99999</v>
      </c>
      <c r="S18" s="7" t="s">
        <v>30</v>
      </c>
      <c r="U18" s="7" t="s">
        <v>109</v>
      </c>
      <c r="V18" s="7" t="s">
        <v>110</v>
      </c>
      <c r="W18" s="9">
        <v>25</v>
      </c>
      <c r="X18" s="7">
        <v>34</v>
      </c>
      <c r="Y18" s="10">
        <v>850</v>
      </c>
      <c r="Z18" s="9">
        <v>80.75</v>
      </c>
    </row>
    <row r="19" spans="1:26" x14ac:dyDescent="0.35">
      <c r="A19" s="7">
        <v>1018</v>
      </c>
      <c r="B19" s="8">
        <v>41649</v>
      </c>
      <c r="C19" s="7">
        <v>10</v>
      </c>
      <c r="D19" s="7" t="s">
        <v>97</v>
      </c>
      <c r="E19" s="7" t="s">
        <v>98</v>
      </c>
      <c r="F19" s="7" t="s">
        <v>99</v>
      </c>
      <c r="G19" s="7" t="s">
        <v>100</v>
      </c>
      <c r="H19" s="7">
        <v>99999</v>
      </c>
      <c r="I19" s="7" t="s">
        <v>30</v>
      </c>
      <c r="J19" s="7" t="s">
        <v>101</v>
      </c>
      <c r="K19" s="7" t="s">
        <v>45</v>
      </c>
      <c r="L19" s="8">
        <v>41651</v>
      </c>
      <c r="M19" s="7" t="s">
        <v>46</v>
      </c>
      <c r="N19" s="7" t="s">
        <v>102</v>
      </c>
      <c r="O19" s="7" t="s">
        <v>98</v>
      </c>
      <c r="P19" s="7" t="s">
        <v>99</v>
      </c>
      <c r="Q19" s="7" t="s">
        <v>100</v>
      </c>
      <c r="R19" s="7">
        <v>99999</v>
      </c>
      <c r="S19" s="7" t="s">
        <v>30</v>
      </c>
      <c r="U19" s="7" t="s">
        <v>111</v>
      </c>
      <c r="V19" s="7" t="s">
        <v>112</v>
      </c>
      <c r="W19" s="9">
        <v>22</v>
      </c>
      <c r="X19" s="7">
        <v>17</v>
      </c>
      <c r="Y19" s="10">
        <v>374</v>
      </c>
      <c r="Z19" s="9">
        <v>35.903999999999996</v>
      </c>
    </row>
    <row r="20" spans="1:26" x14ac:dyDescent="0.35">
      <c r="A20" s="7">
        <v>1019</v>
      </c>
      <c r="B20" s="8">
        <v>41649</v>
      </c>
      <c r="C20" s="7">
        <v>10</v>
      </c>
      <c r="D20" s="7" t="s">
        <v>97</v>
      </c>
      <c r="E20" s="7" t="s">
        <v>98</v>
      </c>
      <c r="F20" s="7" t="s">
        <v>99</v>
      </c>
      <c r="G20" s="7" t="s">
        <v>100</v>
      </c>
      <c r="H20" s="7">
        <v>99999</v>
      </c>
      <c r="I20" s="7" t="s">
        <v>30</v>
      </c>
      <c r="J20" s="7" t="s">
        <v>101</v>
      </c>
      <c r="K20" s="7" t="s">
        <v>45</v>
      </c>
      <c r="L20" s="8">
        <v>41651</v>
      </c>
      <c r="M20" s="7" t="s">
        <v>46</v>
      </c>
      <c r="N20" s="7" t="s">
        <v>102</v>
      </c>
      <c r="O20" s="7" t="s">
        <v>98</v>
      </c>
      <c r="P20" s="7" t="s">
        <v>99</v>
      </c>
      <c r="Q20" s="7" t="s">
        <v>100</v>
      </c>
      <c r="R20" s="7">
        <v>99999</v>
      </c>
      <c r="S20" s="7" t="s">
        <v>30</v>
      </c>
      <c r="U20" s="7" t="s">
        <v>64</v>
      </c>
      <c r="V20" s="7" t="s">
        <v>65</v>
      </c>
      <c r="W20" s="9">
        <v>9.1999999999999993</v>
      </c>
      <c r="X20" s="7">
        <v>44</v>
      </c>
      <c r="Y20" s="10">
        <v>404.79999999999995</v>
      </c>
      <c r="Z20" s="9">
        <v>42.099199999999996</v>
      </c>
    </row>
    <row r="21" spans="1:26" x14ac:dyDescent="0.35">
      <c r="A21" s="7">
        <v>1020</v>
      </c>
      <c r="B21" s="8">
        <v>41650</v>
      </c>
      <c r="C21" s="7">
        <v>11</v>
      </c>
      <c r="D21" s="7" t="s">
        <v>113</v>
      </c>
      <c r="E21" s="7" t="s">
        <v>114</v>
      </c>
      <c r="F21" s="7" t="s">
        <v>115</v>
      </c>
      <c r="G21" s="7" t="s">
        <v>116</v>
      </c>
      <c r="H21" s="7">
        <v>99999</v>
      </c>
      <c r="I21" s="7" t="s">
        <v>30</v>
      </c>
      <c r="J21" s="7" t="s">
        <v>94</v>
      </c>
      <c r="K21" s="7" t="s">
        <v>95</v>
      </c>
      <c r="M21" s="7" t="s">
        <v>62</v>
      </c>
      <c r="N21" s="7" t="s">
        <v>117</v>
      </c>
      <c r="O21" s="7" t="s">
        <v>114</v>
      </c>
      <c r="P21" s="7" t="s">
        <v>115</v>
      </c>
      <c r="Q21" s="7" t="s">
        <v>116</v>
      </c>
      <c r="R21" s="7">
        <v>99999</v>
      </c>
      <c r="S21" s="7" t="s">
        <v>30</v>
      </c>
      <c r="U21" s="7" t="s">
        <v>38</v>
      </c>
      <c r="V21" s="7" t="s">
        <v>39</v>
      </c>
      <c r="W21" s="9">
        <v>3.5</v>
      </c>
      <c r="X21" s="7">
        <v>81</v>
      </c>
      <c r="Y21" s="10">
        <v>283.5</v>
      </c>
      <c r="Z21" s="9">
        <v>27.499500000000001</v>
      </c>
    </row>
    <row r="22" spans="1:26" x14ac:dyDescent="0.35">
      <c r="A22" s="7">
        <v>1021</v>
      </c>
      <c r="B22" s="8">
        <v>41650</v>
      </c>
      <c r="C22" s="7">
        <v>11</v>
      </c>
      <c r="D22" s="7" t="s">
        <v>113</v>
      </c>
      <c r="E22" s="7" t="s">
        <v>114</v>
      </c>
      <c r="F22" s="7" t="s">
        <v>115</v>
      </c>
      <c r="G22" s="7" t="s">
        <v>116</v>
      </c>
      <c r="H22" s="7">
        <v>99999</v>
      </c>
      <c r="I22" s="7" t="s">
        <v>30</v>
      </c>
      <c r="J22" s="7" t="s">
        <v>94</v>
      </c>
      <c r="K22" s="7" t="s">
        <v>95</v>
      </c>
      <c r="M22" s="7" t="s">
        <v>62</v>
      </c>
      <c r="N22" s="7" t="s">
        <v>117</v>
      </c>
      <c r="O22" s="7" t="s">
        <v>114</v>
      </c>
      <c r="P22" s="7" t="s">
        <v>115</v>
      </c>
      <c r="Q22" s="7" t="s">
        <v>116</v>
      </c>
      <c r="R22" s="7">
        <v>99999</v>
      </c>
      <c r="S22" s="7" t="s">
        <v>30</v>
      </c>
      <c r="U22" s="7" t="s">
        <v>103</v>
      </c>
      <c r="V22" s="7" t="s">
        <v>37</v>
      </c>
      <c r="W22" s="9">
        <v>2.99</v>
      </c>
      <c r="X22" s="7">
        <v>49</v>
      </c>
      <c r="Y22" s="10">
        <v>146.51000000000002</v>
      </c>
      <c r="Z22" s="9">
        <v>15.090530000000005</v>
      </c>
    </row>
    <row r="23" spans="1:26" x14ac:dyDescent="0.35">
      <c r="A23" s="7">
        <v>1022</v>
      </c>
      <c r="B23" s="8">
        <v>41640</v>
      </c>
      <c r="C23" s="7">
        <v>1</v>
      </c>
      <c r="D23" s="7" t="s">
        <v>118</v>
      </c>
      <c r="E23" s="7" t="s">
        <v>119</v>
      </c>
      <c r="F23" s="7" t="s">
        <v>120</v>
      </c>
      <c r="G23" s="7" t="s">
        <v>121</v>
      </c>
      <c r="H23" s="7">
        <v>99999</v>
      </c>
      <c r="I23" s="7" t="s">
        <v>30</v>
      </c>
      <c r="J23" s="7" t="s">
        <v>60</v>
      </c>
      <c r="K23" s="7" t="s">
        <v>61</v>
      </c>
      <c r="N23" s="7" t="s">
        <v>122</v>
      </c>
      <c r="O23" s="7" t="s">
        <v>119</v>
      </c>
      <c r="P23" s="7" t="s">
        <v>120</v>
      </c>
      <c r="Q23" s="7" t="s">
        <v>121</v>
      </c>
      <c r="R23" s="7">
        <v>99999</v>
      </c>
      <c r="S23" s="7" t="s">
        <v>30</v>
      </c>
      <c r="U23" s="7" t="s">
        <v>54</v>
      </c>
      <c r="V23" s="7" t="s">
        <v>37</v>
      </c>
      <c r="W23" s="9">
        <v>18</v>
      </c>
      <c r="X23" s="7">
        <v>42</v>
      </c>
      <c r="Y23" s="10">
        <v>756</v>
      </c>
      <c r="Z23" s="9">
        <v>75.600000000000009</v>
      </c>
    </row>
    <row r="24" spans="1:26" x14ac:dyDescent="0.35">
      <c r="A24" s="7">
        <v>1023</v>
      </c>
      <c r="B24" s="8">
        <v>41640</v>
      </c>
      <c r="C24" s="7">
        <v>1</v>
      </c>
      <c r="D24" s="7" t="s">
        <v>118</v>
      </c>
      <c r="E24" s="7" t="s">
        <v>119</v>
      </c>
      <c r="F24" s="7" t="s">
        <v>120</v>
      </c>
      <c r="G24" s="7" t="s">
        <v>121</v>
      </c>
      <c r="H24" s="7">
        <v>99999</v>
      </c>
      <c r="I24" s="7" t="s">
        <v>30</v>
      </c>
      <c r="J24" s="7" t="s">
        <v>60</v>
      </c>
      <c r="K24" s="7" t="s">
        <v>61</v>
      </c>
      <c r="N24" s="7" t="s">
        <v>122</v>
      </c>
      <c r="O24" s="7" t="s">
        <v>119</v>
      </c>
      <c r="P24" s="7" t="s">
        <v>120</v>
      </c>
      <c r="Q24" s="7" t="s">
        <v>121</v>
      </c>
      <c r="R24" s="7">
        <v>99999</v>
      </c>
      <c r="S24" s="7" t="s">
        <v>30</v>
      </c>
      <c r="U24" s="7" t="s">
        <v>55</v>
      </c>
      <c r="V24" s="7" t="s">
        <v>37</v>
      </c>
      <c r="W24" s="9">
        <v>46</v>
      </c>
      <c r="X24" s="7">
        <v>58</v>
      </c>
      <c r="Y24" s="10">
        <v>2668</v>
      </c>
      <c r="Z24" s="9">
        <v>269.46800000000002</v>
      </c>
    </row>
    <row r="25" spans="1:26" x14ac:dyDescent="0.35">
      <c r="A25" s="7">
        <v>1024</v>
      </c>
      <c r="B25" s="8">
        <v>41640</v>
      </c>
      <c r="C25" s="7">
        <v>1</v>
      </c>
      <c r="D25" s="7" t="s">
        <v>118</v>
      </c>
      <c r="E25" s="7" t="s">
        <v>119</v>
      </c>
      <c r="F25" s="7" t="s">
        <v>120</v>
      </c>
      <c r="G25" s="7" t="s">
        <v>121</v>
      </c>
      <c r="H25" s="7">
        <v>99999</v>
      </c>
      <c r="I25" s="7" t="s">
        <v>30</v>
      </c>
      <c r="J25" s="7" t="s">
        <v>60</v>
      </c>
      <c r="K25" s="7" t="s">
        <v>61</v>
      </c>
      <c r="N25" s="7" t="s">
        <v>122</v>
      </c>
      <c r="O25" s="7" t="s">
        <v>119</v>
      </c>
      <c r="P25" s="7" t="s">
        <v>120</v>
      </c>
      <c r="Q25" s="7" t="s">
        <v>121</v>
      </c>
      <c r="R25" s="7">
        <v>99999</v>
      </c>
      <c r="S25" s="7" t="s">
        <v>30</v>
      </c>
      <c r="U25" s="7" t="s">
        <v>103</v>
      </c>
      <c r="V25" s="7" t="s">
        <v>37</v>
      </c>
      <c r="W25" s="9">
        <v>2.99</v>
      </c>
      <c r="X25" s="7">
        <v>67</v>
      </c>
      <c r="Y25" s="10">
        <v>200.33</v>
      </c>
      <c r="Z25" s="9">
        <v>20.033000000000001</v>
      </c>
    </row>
    <row r="26" spans="1:26" x14ac:dyDescent="0.35">
      <c r="A26" s="7">
        <v>1025</v>
      </c>
      <c r="B26" s="8">
        <v>41667</v>
      </c>
      <c r="C26" s="7">
        <v>28</v>
      </c>
      <c r="D26" s="7" t="s">
        <v>90</v>
      </c>
      <c r="E26" s="7" t="s">
        <v>91</v>
      </c>
      <c r="F26" s="7" t="s">
        <v>92</v>
      </c>
      <c r="G26" s="7" t="s">
        <v>93</v>
      </c>
      <c r="H26" s="7">
        <v>99999</v>
      </c>
      <c r="I26" s="7" t="s">
        <v>30</v>
      </c>
      <c r="J26" s="7" t="s">
        <v>94</v>
      </c>
      <c r="K26" s="7" t="s">
        <v>95</v>
      </c>
      <c r="L26" s="8">
        <v>41669</v>
      </c>
      <c r="M26" s="7" t="s">
        <v>62</v>
      </c>
      <c r="N26" s="7" t="s">
        <v>96</v>
      </c>
      <c r="O26" s="7" t="s">
        <v>91</v>
      </c>
      <c r="P26" s="7" t="s">
        <v>92</v>
      </c>
      <c r="Q26" s="7" t="s">
        <v>93</v>
      </c>
      <c r="R26" s="7">
        <v>99999</v>
      </c>
      <c r="S26" s="7" t="s">
        <v>30</v>
      </c>
      <c r="T26" s="7" t="s">
        <v>48</v>
      </c>
      <c r="U26" s="7" t="s">
        <v>80</v>
      </c>
      <c r="V26" s="7" t="s">
        <v>81</v>
      </c>
      <c r="W26" s="9">
        <v>9.65</v>
      </c>
      <c r="X26" s="7">
        <v>100</v>
      </c>
      <c r="Y26" s="10">
        <v>965</v>
      </c>
      <c r="Z26" s="9">
        <v>93.605000000000004</v>
      </c>
    </row>
    <row r="27" spans="1:26" x14ac:dyDescent="0.35">
      <c r="A27" s="7">
        <v>1026</v>
      </c>
      <c r="B27" s="8">
        <v>41667</v>
      </c>
      <c r="C27" s="7">
        <v>28</v>
      </c>
      <c r="D27" s="7" t="s">
        <v>90</v>
      </c>
      <c r="E27" s="7" t="s">
        <v>91</v>
      </c>
      <c r="F27" s="7" t="s">
        <v>92</v>
      </c>
      <c r="G27" s="7" t="s">
        <v>93</v>
      </c>
      <c r="H27" s="7">
        <v>99999</v>
      </c>
      <c r="I27" s="7" t="s">
        <v>30</v>
      </c>
      <c r="J27" s="7" t="s">
        <v>94</v>
      </c>
      <c r="K27" s="7" t="s">
        <v>95</v>
      </c>
      <c r="L27" s="8">
        <v>41669</v>
      </c>
      <c r="M27" s="7" t="s">
        <v>62</v>
      </c>
      <c r="N27" s="7" t="s">
        <v>96</v>
      </c>
      <c r="O27" s="7" t="s">
        <v>91</v>
      </c>
      <c r="P27" s="7" t="s">
        <v>92</v>
      </c>
      <c r="Q27" s="7" t="s">
        <v>93</v>
      </c>
      <c r="R27" s="7">
        <v>99999</v>
      </c>
      <c r="S27" s="7" t="s">
        <v>30</v>
      </c>
      <c r="T27" s="7" t="s">
        <v>48</v>
      </c>
      <c r="U27" s="7" t="s">
        <v>123</v>
      </c>
      <c r="V27" s="7" t="s">
        <v>124</v>
      </c>
      <c r="W27" s="9">
        <v>18.399999999999999</v>
      </c>
      <c r="X27" s="7">
        <v>63</v>
      </c>
      <c r="Y27" s="10">
        <v>1159.1999999999998</v>
      </c>
      <c r="Z27" s="9">
        <v>114.76079999999999</v>
      </c>
    </row>
    <row r="28" spans="1:26" x14ac:dyDescent="0.35">
      <c r="A28" s="7">
        <v>1027</v>
      </c>
      <c r="B28" s="8">
        <v>41648</v>
      </c>
      <c r="C28" s="7">
        <v>9</v>
      </c>
      <c r="D28" s="7" t="s">
        <v>125</v>
      </c>
      <c r="E28" s="7" t="s">
        <v>126</v>
      </c>
      <c r="F28" s="7" t="s">
        <v>127</v>
      </c>
      <c r="G28" s="7" t="s">
        <v>128</v>
      </c>
      <c r="H28" s="7">
        <v>99999</v>
      </c>
      <c r="I28" s="7" t="s">
        <v>30</v>
      </c>
      <c r="J28" s="7" t="s">
        <v>129</v>
      </c>
      <c r="K28" s="7" t="s">
        <v>32</v>
      </c>
      <c r="L28" s="8">
        <v>41650</v>
      </c>
      <c r="M28" s="7" t="s">
        <v>46</v>
      </c>
      <c r="N28" s="7" t="s">
        <v>130</v>
      </c>
      <c r="O28" s="7" t="s">
        <v>126</v>
      </c>
      <c r="P28" s="7" t="s">
        <v>127</v>
      </c>
      <c r="Q28" s="7" t="s">
        <v>128</v>
      </c>
      <c r="R28" s="7">
        <v>99999</v>
      </c>
      <c r="S28" s="7" t="s">
        <v>30</v>
      </c>
      <c r="T28" s="7" t="s">
        <v>35</v>
      </c>
      <c r="U28" s="7" t="s">
        <v>131</v>
      </c>
      <c r="V28" s="7" t="s">
        <v>132</v>
      </c>
      <c r="W28" s="9">
        <v>19.5</v>
      </c>
      <c r="X28" s="7">
        <v>57</v>
      </c>
      <c r="Y28" s="10">
        <v>1111.5</v>
      </c>
      <c r="Z28" s="9">
        <v>110.0385</v>
      </c>
    </row>
    <row r="29" spans="1:26" x14ac:dyDescent="0.35">
      <c r="A29" s="7">
        <v>1028</v>
      </c>
      <c r="B29" s="8">
        <v>41648</v>
      </c>
      <c r="C29" s="7">
        <v>9</v>
      </c>
      <c r="D29" s="7" t="s">
        <v>125</v>
      </c>
      <c r="E29" s="7" t="s">
        <v>126</v>
      </c>
      <c r="F29" s="7" t="s">
        <v>127</v>
      </c>
      <c r="G29" s="7" t="s">
        <v>128</v>
      </c>
      <c r="H29" s="7">
        <v>99999</v>
      </c>
      <c r="I29" s="7" t="s">
        <v>30</v>
      </c>
      <c r="J29" s="7" t="s">
        <v>129</v>
      </c>
      <c r="K29" s="7" t="s">
        <v>32</v>
      </c>
      <c r="L29" s="8">
        <v>41650</v>
      </c>
      <c r="M29" s="7" t="s">
        <v>46</v>
      </c>
      <c r="N29" s="7" t="s">
        <v>130</v>
      </c>
      <c r="O29" s="7" t="s">
        <v>126</v>
      </c>
      <c r="P29" s="7" t="s">
        <v>127</v>
      </c>
      <c r="Q29" s="7" t="s">
        <v>128</v>
      </c>
      <c r="R29" s="7">
        <v>99999</v>
      </c>
      <c r="S29" s="7" t="s">
        <v>30</v>
      </c>
      <c r="T29" s="7" t="s">
        <v>35</v>
      </c>
      <c r="U29" s="7" t="s">
        <v>133</v>
      </c>
      <c r="V29" s="7" t="s">
        <v>134</v>
      </c>
      <c r="W29" s="9">
        <v>34.799999999999997</v>
      </c>
      <c r="X29" s="7">
        <v>81</v>
      </c>
      <c r="Y29" s="10">
        <v>2818.7999999999997</v>
      </c>
      <c r="Z29" s="9">
        <v>295.97399999999999</v>
      </c>
    </row>
    <row r="30" spans="1:26" x14ac:dyDescent="0.35">
      <c r="A30" s="7">
        <v>1029</v>
      </c>
      <c r="B30" s="8">
        <v>41645</v>
      </c>
      <c r="C30" s="7">
        <v>6</v>
      </c>
      <c r="D30" s="7" t="s">
        <v>82</v>
      </c>
      <c r="E30" s="7" t="s">
        <v>83</v>
      </c>
      <c r="F30" s="7" t="s">
        <v>84</v>
      </c>
      <c r="G30" s="7" t="s">
        <v>85</v>
      </c>
      <c r="H30" s="7">
        <v>99999</v>
      </c>
      <c r="I30" s="7" t="s">
        <v>30</v>
      </c>
      <c r="J30" s="7" t="s">
        <v>86</v>
      </c>
      <c r="K30" s="7" t="s">
        <v>61</v>
      </c>
      <c r="L30" s="8">
        <v>41647</v>
      </c>
      <c r="M30" s="7" t="s">
        <v>33</v>
      </c>
      <c r="N30" s="7" t="s">
        <v>87</v>
      </c>
      <c r="O30" s="7" t="s">
        <v>83</v>
      </c>
      <c r="P30" s="7" t="s">
        <v>84</v>
      </c>
      <c r="Q30" s="7" t="s">
        <v>85</v>
      </c>
      <c r="R30" s="7">
        <v>99999</v>
      </c>
      <c r="S30" s="7" t="s">
        <v>30</v>
      </c>
      <c r="T30" s="7" t="s">
        <v>48</v>
      </c>
      <c r="U30" s="7" t="s">
        <v>36</v>
      </c>
      <c r="V30" s="7" t="s">
        <v>37</v>
      </c>
      <c r="W30" s="9">
        <v>14</v>
      </c>
      <c r="X30" s="7">
        <v>71</v>
      </c>
      <c r="Y30" s="10">
        <v>994</v>
      </c>
      <c r="Z30" s="9">
        <v>95.424000000000007</v>
      </c>
    </row>
    <row r="31" spans="1:26" x14ac:dyDescent="0.35">
      <c r="A31" s="7">
        <v>1030</v>
      </c>
      <c r="B31" s="8">
        <v>41678</v>
      </c>
      <c r="C31" s="7">
        <v>8</v>
      </c>
      <c r="D31" s="7" t="s">
        <v>56</v>
      </c>
      <c r="E31" s="7" t="s">
        <v>57</v>
      </c>
      <c r="F31" s="7" t="s">
        <v>58</v>
      </c>
      <c r="G31" s="7" t="s">
        <v>59</v>
      </c>
      <c r="H31" s="7">
        <v>99999</v>
      </c>
      <c r="I31" s="7" t="s">
        <v>30</v>
      </c>
      <c r="J31" s="7" t="s">
        <v>60</v>
      </c>
      <c r="K31" s="7" t="s">
        <v>61</v>
      </c>
      <c r="L31" s="8">
        <v>41680</v>
      </c>
      <c r="M31" s="7" t="s">
        <v>33</v>
      </c>
      <c r="N31" s="7" t="s">
        <v>63</v>
      </c>
      <c r="O31" s="7" t="s">
        <v>57</v>
      </c>
      <c r="P31" s="7" t="s">
        <v>58</v>
      </c>
      <c r="Q31" s="7" t="s">
        <v>59</v>
      </c>
      <c r="R31" s="7">
        <v>99999</v>
      </c>
      <c r="S31" s="7" t="s">
        <v>30</v>
      </c>
      <c r="T31" s="7" t="s">
        <v>35</v>
      </c>
      <c r="U31" s="7" t="s">
        <v>88</v>
      </c>
      <c r="V31" s="7" t="s">
        <v>89</v>
      </c>
      <c r="W31" s="9">
        <v>40</v>
      </c>
      <c r="X31" s="7">
        <v>32</v>
      </c>
      <c r="Y31" s="10">
        <v>1280</v>
      </c>
      <c r="Z31" s="9">
        <v>129.28</v>
      </c>
    </row>
    <row r="32" spans="1:26" x14ac:dyDescent="0.35">
      <c r="A32" s="7">
        <v>1031</v>
      </c>
      <c r="B32" s="8">
        <v>41673</v>
      </c>
      <c r="C32" s="7">
        <v>3</v>
      </c>
      <c r="D32" s="7" t="s">
        <v>74</v>
      </c>
      <c r="E32" s="7" t="s">
        <v>75</v>
      </c>
      <c r="F32" s="7" t="s">
        <v>76</v>
      </c>
      <c r="G32" s="7" t="s">
        <v>77</v>
      </c>
      <c r="H32" s="7">
        <v>99999</v>
      </c>
      <c r="I32" s="7" t="s">
        <v>30</v>
      </c>
      <c r="J32" s="7" t="s">
        <v>31</v>
      </c>
      <c r="K32" s="7" t="s">
        <v>32</v>
      </c>
      <c r="L32" s="8">
        <v>41675</v>
      </c>
      <c r="M32" s="7" t="s">
        <v>33</v>
      </c>
      <c r="N32" s="7" t="s">
        <v>78</v>
      </c>
      <c r="O32" s="7" t="s">
        <v>75</v>
      </c>
      <c r="P32" s="7" t="s">
        <v>76</v>
      </c>
      <c r="Q32" s="7" t="s">
        <v>77</v>
      </c>
      <c r="R32" s="7">
        <v>99999</v>
      </c>
      <c r="S32" s="7" t="s">
        <v>30</v>
      </c>
      <c r="T32" s="7" t="s">
        <v>79</v>
      </c>
      <c r="U32" s="7" t="s">
        <v>135</v>
      </c>
      <c r="V32" s="7" t="s">
        <v>112</v>
      </c>
      <c r="W32" s="7">
        <v>10</v>
      </c>
      <c r="X32" s="7">
        <v>63</v>
      </c>
      <c r="Y32" s="10">
        <v>630</v>
      </c>
      <c r="Z32" s="9">
        <v>65.52</v>
      </c>
    </row>
    <row r="33" spans="1:26" x14ac:dyDescent="0.35">
      <c r="A33" s="7">
        <v>1032</v>
      </c>
      <c r="B33" s="8">
        <v>41673</v>
      </c>
      <c r="C33" s="7">
        <v>3</v>
      </c>
      <c r="D33" s="7" t="s">
        <v>74</v>
      </c>
      <c r="E33" s="7" t="s">
        <v>75</v>
      </c>
      <c r="F33" s="7" t="s">
        <v>76</v>
      </c>
      <c r="G33" s="7" t="s">
        <v>77</v>
      </c>
      <c r="H33" s="7">
        <v>99999</v>
      </c>
      <c r="I33" s="7" t="s">
        <v>30</v>
      </c>
      <c r="J33" s="7" t="s">
        <v>31</v>
      </c>
      <c r="K33" s="7" t="s">
        <v>32</v>
      </c>
      <c r="L33" s="8">
        <v>41675</v>
      </c>
      <c r="M33" s="7" t="s">
        <v>33</v>
      </c>
      <c r="N33" s="7" t="s">
        <v>78</v>
      </c>
      <c r="O33" s="7" t="s">
        <v>75</v>
      </c>
      <c r="P33" s="7" t="s">
        <v>76</v>
      </c>
      <c r="Q33" s="7" t="s">
        <v>77</v>
      </c>
      <c r="R33" s="7">
        <v>99999</v>
      </c>
      <c r="S33" s="7" t="s">
        <v>30</v>
      </c>
      <c r="T33" s="7" t="s">
        <v>79</v>
      </c>
      <c r="U33" s="7" t="s">
        <v>88</v>
      </c>
      <c r="V33" s="7" t="s">
        <v>89</v>
      </c>
      <c r="W33" s="7">
        <v>40</v>
      </c>
      <c r="X33" s="7">
        <v>30</v>
      </c>
      <c r="Y33" s="10">
        <v>1200</v>
      </c>
      <c r="Z33" s="9">
        <v>120</v>
      </c>
    </row>
    <row r="34" spans="1:26" x14ac:dyDescent="0.35">
      <c r="A34" s="7">
        <v>1033</v>
      </c>
      <c r="B34" s="8">
        <v>41676</v>
      </c>
      <c r="C34" s="7">
        <v>6</v>
      </c>
      <c r="D34" s="7" t="s">
        <v>82</v>
      </c>
      <c r="E34" s="7" t="s">
        <v>83</v>
      </c>
      <c r="F34" s="7" t="s">
        <v>84</v>
      </c>
      <c r="G34" s="7" t="s">
        <v>85</v>
      </c>
      <c r="H34" s="7">
        <v>99999</v>
      </c>
      <c r="I34" s="7" t="s">
        <v>30</v>
      </c>
      <c r="J34" s="7" t="s">
        <v>86</v>
      </c>
      <c r="K34" s="7" t="s">
        <v>61</v>
      </c>
      <c r="L34" s="8">
        <v>41678</v>
      </c>
      <c r="M34" s="7" t="s">
        <v>33</v>
      </c>
      <c r="N34" s="7" t="s">
        <v>87</v>
      </c>
      <c r="O34" s="7" t="s">
        <v>83</v>
      </c>
      <c r="P34" s="7" t="s">
        <v>84</v>
      </c>
      <c r="Q34" s="7" t="s">
        <v>85</v>
      </c>
      <c r="R34" s="7">
        <v>99999</v>
      </c>
      <c r="S34" s="7" t="s">
        <v>30</v>
      </c>
      <c r="T34" s="7" t="s">
        <v>48</v>
      </c>
      <c r="V34" s="7" t="s">
        <v>179</v>
      </c>
      <c r="Y34" s="10">
        <v>10</v>
      </c>
      <c r="Z34" s="9">
        <v>43</v>
      </c>
    </row>
    <row r="35" spans="1:26" x14ac:dyDescent="0.35">
      <c r="A35" s="7">
        <v>1034</v>
      </c>
      <c r="B35" s="8">
        <v>41698</v>
      </c>
      <c r="C35" s="7">
        <v>28</v>
      </c>
      <c r="D35" s="7" t="s">
        <v>90</v>
      </c>
      <c r="E35" s="7" t="s">
        <v>91</v>
      </c>
      <c r="F35" s="7" t="s">
        <v>92</v>
      </c>
      <c r="G35" s="7" t="s">
        <v>93</v>
      </c>
      <c r="H35" s="7">
        <v>99999</v>
      </c>
      <c r="I35" s="7" t="s">
        <v>30</v>
      </c>
      <c r="J35" s="7" t="s">
        <v>94</v>
      </c>
      <c r="K35" s="7" t="s">
        <v>95</v>
      </c>
      <c r="L35" s="8">
        <v>41700</v>
      </c>
      <c r="M35" s="7" t="s">
        <v>62</v>
      </c>
      <c r="N35" s="7" t="s">
        <v>96</v>
      </c>
      <c r="O35" s="7" t="s">
        <v>91</v>
      </c>
      <c r="P35" s="7" t="s">
        <v>92</v>
      </c>
      <c r="Q35" s="7" t="s">
        <v>93</v>
      </c>
      <c r="R35" s="7">
        <v>99999</v>
      </c>
      <c r="S35" s="7" t="s">
        <v>30</v>
      </c>
      <c r="T35" s="7" t="s">
        <v>35</v>
      </c>
      <c r="V35" s="7" t="s">
        <v>179</v>
      </c>
      <c r="Y35" s="10">
        <v>10</v>
      </c>
      <c r="Z35" s="9">
        <v>31</v>
      </c>
    </row>
    <row r="36" spans="1:26" x14ac:dyDescent="0.35">
      <c r="A36" s="7">
        <v>1035</v>
      </c>
      <c r="B36" s="8">
        <v>41678</v>
      </c>
      <c r="C36" s="7">
        <v>8</v>
      </c>
      <c r="D36" s="7" t="s">
        <v>56</v>
      </c>
      <c r="E36" s="7" t="s">
        <v>57</v>
      </c>
      <c r="F36" s="7" t="s">
        <v>58</v>
      </c>
      <c r="G36" s="7" t="s">
        <v>59</v>
      </c>
      <c r="H36" s="7">
        <v>99999</v>
      </c>
      <c r="I36" s="7" t="s">
        <v>30</v>
      </c>
      <c r="J36" s="7" t="s">
        <v>60</v>
      </c>
      <c r="K36" s="7" t="s">
        <v>61</v>
      </c>
      <c r="L36" s="8">
        <v>41680</v>
      </c>
      <c r="M36" s="7" t="s">
        <v>62</v>
      </c>
      <c r="N36" s="7" t="s">
        <v>63</v>
      </c>
      <c r="O36" s="7" t="s">
        <v>57</v>
      </c>
      <c r="P36" s="7" t="s">
        <v>58</v>
      </c>
      <c r="Q36" s="7" t="s">
        <v>59</v>
      </c>
      <c r="R36" s="7">
        <v>99999</v>
      </c>
      <c r="S36" s="7" t="s">
        <v>30</v>
      </c>
      <c r="T36" s="7" t="s">
        <v>35</v>
      </c>
      <c r="V36" s="7" t="s">
        <v>179</v>
      </c>
      <c r="Y36" s="10">
        <v>10</v>
      </c>
      <c r="Z36" s="9">
        <v>46</v>
      </c>
    </row>
    <row r="37" spans="1:26" x14ac:dyDescent="0.35">
      <c r="A37" s="7">
        <v>1036</v>
      </c>
      <c r="B37" s="8">
        <v>41680</v>
      </c>
      <c r="C37" s="7">
        <v>10</v>
      </c>
      <c r="D37" s="7" t="s">
        <v>97</v>
      </c>
      <c r="E37" s="7" t="s">
        <v>98</v>
      </c>
      <c r="F37" s="7" t="s">
        <v>99</v>
      </c>
      <c r="G37" s="7" t="s">
        <v>100</v>
      </c>
      <c r="H37" s="7">
        <v>99999</v>
      </c>
      <c r="I37" s="7" t="s">
        <v>30</v>
      </c>
      <c r="J37" s="7" t="s">
        <v>101</v>
      </c>
      <c r="K37" s="7" t="s">
        <v>45</v>
      </c>
      <c r="L37" s="8">
        <v>41682</v>
      </c>
      <c r="M37" s="7" t="s">
        <v>33</v>
      </c>
      <c r="N37" s="7" t="s">
        <v>102</v>
      </c>
      <c r="O37" s="7" t="s">
        <v>98</v>
      </c>
      <c r="P37" s="7" t="s">
        <v>99</v>
      </c>
      <c r="Q37" s="7" t="s">
        <v>100</v>
      </c>
      <c r="R37" s="7">
        <v>99999</v>
      </c>
      <c r="S37" s="7" t="s">
        <v>30</v>
      </c>
      <c r="T37" s="7" t="s">
        <v>48</v>
      </c>
      <c r="U37" s="7" t="s">
        <v>136</v>
      </c>
      <c r="V37" s="7" t="s">
        <v>39</v>
      </c>
      <c r="W37" s="7">
        <v>10</v>
      </c>
      <c r="X37" s="7">
        <v>47</v>
      </c>
      <c r="Y37" s="10">
        <v>470</v>
      </c>
      <c r="Z37" s="9">
        <v>48.88</v>
      </c>
    </row>
    <row r="38" spans="1:26" x14ac:dyDescent="0.35">
      <c r="A38" s="7">
        <v>1038</v>
      </c>
      <c r="B38" s="8">
        <v>41680</v>
      </c>
      <c r="C38" s="7">
        <v>10</v>
      </c>
      <c r="D38" s="7" t="s">
        <v>97</v>
      </c>
      <c r="E38" s="7" t="s">
        <v>98</v>
      </c>
      <c r="F38" s="7" t="s">
        <v>99</v>
      </c>
      <c r="G38" s="7" t="s">
        <v>100</v>
      </c>
      <c r="H38" s="7">
        <v>99999</v>
      </c>
      <c r="I38" s="7" t="s">
        <v>30</v>
      </c>
      <c r="J38" s="7" t="s">
        <v>101</v>
      </c>
      <c r="K38" s="7" t="s">
        <v>45</v>
      </c>
      <c r="M38" s="7" t="s">
        <v>46</v>
      </c>
      <c r="N38" s="7" t="s">
        <v>102</v>
      </c>
      <c r="O38" s="7" t="s">
        <v>98</v>
      </c>
      <c r="P38" s="7" t="s">
        <v>99</v>
      </c>
      <c r="Q38" s="7" t="s">
        <v>100</v>
      </c>
      <c r="R38" s="7">
        <v>99999</v>
      </c>
      <c r="S38" s="7" t="s">
        <v>30</v>
      </c>
      <c r="U38" s="7" t="s">
        <v>38</v>
      </c>
      <c r="V38" s="7" t="s">
        <v>39</v>
      </c>
      <c r="W38" s="7">
        <v>3.5</v>
      </c>
      <c r="X38" s="7">
        <v>49</v>
      </c>
      <c r="Y38" s="10">
        <v>171.5</v>
      </c>
      <c r="Z38" s="9">
        <v>16.464000000000002</v>
      </c>
    </row>
    <row r="39" spans="1:26" x14ac:dyDescent="0.35">
      <c r="A39" s="7">
        <v>1039</v>
      </c>
      <c r="B39" s="8">
        <v>41681</v>
      </c>
      <c r="C39" s="7">
        <v>11</v>
      </c>
      <c r="D39" s="7" t="s">
        <v>113</v>
      </c>
      <c r="E39" s="7" t="s">
        <v>114</v>
      </c>
      <c r="F39" s="7" t="s">
        <v>115</v>
      </c>
      <c r="G39" s="7" t="s">
        <v>116</v>
      </c>
      <c r="H39" s="7">
        <v>99999</v>
      </c>
      <c r="I39" s="7" t="s">
        <v>30</v>
      </c>
      <c r="J39" s="7" t="s">
        <v>94</v>
      </c>
      <c r="K39" s="7" t="s">
        <v>95</v>
      </c>
      <c r="M39" s="7" t="s">
        <v>62</v>
      </c>
      <c r="N39" s="7" t="s">
        <v>117</v>
      </c>
      <c r="O39" s="7" t="s">
        <v>114</v>
      </c>
      <c r="P39" s="7" t="s">
        <v>115</v>
      </c>
      <c r="Q39" s="7" t="s">
        <v>116</v>
      </c>
      <c r="R39" s="7">
        <v>99999</v>
      </c>
      <c r="S39" s="7" t="s">
        <v>30</v>
      </c>
      <c r="U39" s="7" t="s">
        <v>88</v>
      </c>
      <c r="V39" s="7" t="s">
        <v>89</v>
      </c>
      <c r="W39" s="7">
        <v>40</v>
      </c>
      <c r="X39" s="7">
        <v>72</v>
      </c>
      <c r="Y39" s="10">
        <v>2880</v>
      </c>
      <c r="Z39" s="9">
        <v>285.12</v>
      </c>
    </row>
    <row r="40" spans="1:26" x14ac:dyDescent="0.35">
      <c r="A40" s="7">
        <v>1040</v>
      </c>
      <c r="B40" s="8">
        <v>41671</v>
      </c>
      <c r="C40" s="7">
        <v>1</v>
      </c>
      <c r="D40" s="7" t="s">
        <v>118</v>
      </c>
      <c r="E40" s="7" t="s">
        <v>119</v>
      </c>
      <c r="F40" s="7" t="s">
        <v>120</v>
      </c>
      <c r="G40" s="7" t="s">
        <v>121</v>
      </c>
      <c r="H40" s="7">
        <v>99999</v>
      </c>
      <c r="I40" s="7" t="s">
        <v>30</v>
      </c>
      <c r="J40" s="7" t="s">
        <v>60</v>
      </c>
      <c r="K40" s="7" t="s">
        <v>61</v>
      </c>
      <c r="M40" s="7" t="s">
        <v>62</v>
      </c>
      <c r="N40" s="7" t="s">
        <v>122</v>
      </c>
      <c r="O40" s="7" t="s">
        <v>119</v>
      </c>
      <c r="P40" s="7" t="s">
        <v>120</v>
      </c>
      <c r="Q40" s="7" t="s">
        <v>121</v>
      </c>
      <c r="R40" s="7">
        <v>99999</v>
      </c>
      <c r="S40" s="7" t="s">
        <v>30</v>
      </c>
      <c r="U40" s="7" t="s">
        <v>123</v>
      </c>
      <c r="V40" s="7" t="s">
        <v>124</v>
      </c>
      <c r="W40" s="7">
        <v>18.399999999999999</v>
      </c>
      <c r="X40" s="7">
        <v>13</v>
      </c>
      <c r="Y40" s="10">
        <v>239.2</v>
      </c>
      <c r="Z40" s="9">
        <v>23.680800000000001</v>
      </c>
    </row>
    <row r="41" spans="1:26" x14ac:dyDescent="0.35">
      <c r="A41" s="7">
        <v>1041</v>
      </c>
      <c r="B41" s="8">
        <v>41698</v>
      </c>
      <c r="C41" s="7">
        <v>28</v>
      </c>
      <c r="D41" s="7" t="s">
        <v>90</v>
      </c>
      <c r="E41" s="7" t="s">
        <v>91</v>
      </c>
      <c r="F41" s="7" t="s">
        <v>92</v>
      </c>
      <c r="G41" s="7" t="s">
        <v>93</v>
      </c>
      <c r="H41" s="7">
        <v>99999</v>
      </c>
      <c r="I41" s="7" t="s">
        <v>30</v>
      </c>
      <c r="J41" s="7" t="s">
        <v>94</v>
      </c>
      <c r="K41" s="7" t="s">
        <v>95</v>
      </c>
      <c r="L41" s="7">
        <v>41700</v>
      </c>
      <c r="M41" s="7" t="s">
        <v>62</v>
      </c>
      <c r="N41" s="7" t="s">
        <v>96</v>
      </c>
      <c r="O41" s="7" t="s">
        <v>91</v>
      </c>
      <c r="P41" s="7" t="s">
        <v>92</v>
      </c>
      <c r="Q41" s="7" t="s">
        <v>93</v>
      </c>
      <c r="R41" s="7">
        <v>99999</v>
      </c>
      <c r="S41" s="7" t="s">
        <v>30</v>
      </c>
      <c r="T41" s="7" t="s">
        <v>48</v>
      </c>
      <c r="U41" s="7" t="s">
        <v>55</v>
      </c>
      <c r="V41" s="7" t="s">
        <v>37</v>
      </c>
      <c r="W41" s="7">
        <v>46</v>
      </c>
      <c r="X41" s="7">
        <v>32</v>
      </c>
      <c r="Y41" s="10">
        <v>1472</v>
      </c>
      <c r="Z41" s="9">
        <v>148.67200000000003</v>
      </c>
    </row>
    <row r="42" spans="1:26" x14ac:dyDescent="0.35">
      <c r="A42" s="7">
        <v>1042</v>
      </c>
      <c r="B42" s="8">
        <v>41679</v>
      </c>
      <c r="C42" s="7">
        <v>9</v>
      </c>
      <c r="D42" s="7" t="s">
        <v>125</v>
      </c>
      <c r="E42" s="7" t="s">
        <v>126</v>
      </c>
      <c r="F42" s="7" t="s">
        <v>127</v>
      </c>
      <c r="G42" s="7" t="s">
        <v>128</v>
      </c>
      <c r="H42" s="7">
        <v>99999</v>
      </c>
      <c r="I42" s="7" t="s">
        <v>30</v>
      </c>
      <c r="J42" s="7" t="s">
        <v>129</v>
      </c>
      <c r="K42" s="7" t="s">
        <v>32</v>
      </c>
      <c r="L42" s="8">
        <v>41681</v>
      </c>
      <c r="M42" s="7" t="s">
        <v>46</v>
      </c>
      <c r="N42" s="7" t="s">
        <v>130</v>
      </c>
      <c r="O42" s="7" t="s">
        <v>126</v>
      </c>
      <c r="P42" s="7" t="s">
        <v>127</v>
      </c>
      <c r="Q42" s="7" t="s">
        <v>128</v>
      </c>
      <c r="R42" s="7">
        <v>99999</v>
      </c>
      <c r="S42" s="7" t="s">
        <v>30</v>
      </c>
      <c r="T42" s="7" t="s">
        <v>35</v>
      </c>
      <c r="U42" s="7" t="s">
        <v>80</v>
      </c>
      <c r="V42" s="7" t="s">
        <v>81</v>
      </c>
      <c r="W42" s="7">
        <v>9.65</v>
      </c>
      <c r="X42" s="7">
        <v>27</v>
      </c>
      <c r="Y42" s="10">
        <v>260.55</v>
      </c>
      <c r="Z42" s="9">
        <v>24.752250000000004</v>
      </c>
    </row>
    <row r="43" spans="1:26" x14ac:dyDescent="0.35">
      <c r="A43" s="7">
        <v>1043</v>
      </c>
      <c r="B43" s="8">
        <v>41676</v>
      </c>
      <c r="C43" s="7">
        <v>6</v>
      </c>
      <c r="D43" s="7" t="s">
        <v>82</v>
      </c>
      <c r="E43" s="7" t="s">
        <v>83</v>
      </c>
      <c r="F43" s="7" t="s">
        <v>84</v>
      </c>
      <c r="G43" s="7" t="s">
        <v>85</v>
      </c>
      <c r="H43" s="7">
        <v>99999</v>
      </c>
      <c r="I43" s="7" t="s">
        <v>30</v>
      </c>
      <c r="J43" s="7" t="s">
        <v>86</v>
      </c>
      <c r="K43" s="7" t="s">
        <v>61</v>
      </c>
      <c r="L43" s="8">
        <v>41678</v>
      </c>
      <c r="M43" s="7" t="s">
        <v>33</v>
      </c>
      <c r="N43" s="7" t="s">
        <v>87</v>
      </c>
      <c r="O43" s="7" t="s">
        <v>83</v>
      </c>
      <c r="P43" s="7" t="s">
        <v>84</v>
      </c>
      <c r="Q43" s="7" t="s">
        <v>85</v>
      </c>
      <c r="R43" s="7">
        <v>99999</v>
      </c>
      <c r="S43" s="7" t="s">
        <v>30</v>
      </c>
      <c r="T43" s="7" t="s">
        <v>48</v>
      </c>
      <c r="U43" s="7" t="s">
        <v>72</v>
      </c>
      <c r="V43" s="7" t="s">
        <v>73</v>
      </c>
      <c r="W43" s="7">
        <v>12.75</v>
      </c>
      <c r="X43" s="7">
        <v>71</v>
      </c>
      <c r="Y43" s="10">
        <v>905.25</v>
      </c>
      <c r="Z43" s="9">
        <v>91.430250000000001</v>
      </c>
    </row>
    <row r="44" spans="1:26" x14ac:dyDescent="0.35">
      <c r="A44" s="7">
        <v>1044</v>
      </c>
      <c r="B44" s="8">
        <v>41678</v>
      </c>
      <c r="C44" s="7">
        <v>8</v>
      </c>
      <c r="D44" s="7" t="s">
        <v>56</v>
      </c>
      <c r="E44" s="7" t="s">
        <v>57</v>
      </c>
      <c r="F44" s="7" t="s">
        <v>58</v>
      </c>
      <c r="G44" s="7" t="s">
        <v>59</v>
      </c>
      <c r="H44" s="7">
        <v>99999</v>
      </c>
      <c r="I44" s="7" t="s">
        <v>30</v>
      </c>
      <c r="J44" s="7" t="s">
        <v>60</v>
      </c>
      <c r="K44" s="7" t="s">
        <v>61</v>
      </c>
      <c r="L44" s="8">
        <v>41680</v>
      </c>
      <c r="M44" s="7" t="s">
        <v>33</v>
      </c>
      <c r="N44" s="7" t="s">
        <v>63</v>
      </c>
      <c r="O44" s="7" t="s">
        <v>57</v>
      </c>
      <c r="P44" s="7" t="s">
        <v>58</v>
      </c>
      <c r="Q44" s="7" t="s">
        <v>59</v>
      </c>
      <c r="R44" s="7">
        <v>99999</v>
      </c>
      <c r="S44" s="7" t="s">
        <v>30</v>
      </c>
      <c r="T44" s="7" t="s">
        <v>35</v>
      </c>
      <c r="U44" s="7" t="s">
        <v>72</v>
      </c>
      <c r="V44" s="7" t="s">
        <v>73</v>
      </c>
      <c r="W44" s="7">
        <v>12.75</v>
      </c>
      <c r="X44" s="7">
        <v>13</v>
      </c>
      <c r="Y44" s="10">
        <v>165.75</v>
      </c>
      <c r="Z44" s="9">
        <v>15.746249999999998</v>
      </c>
    </row>
    <row r="45" spans="1:26" x14ac:dyDescent="0.35">
      <c r="A45" s="7">
        <v>1045</v>
      </c>
      <c r="B45" s="8">
        <v>41695</v>
      </c>
      <c r="C45" s="7">
        <v>25</v>
      </c>
      <c r="D45" s="7" t="s">
        <v>137</v>
      </c>
      <c r="E45" s="7" t="s">
        <v>138</v>
      </c>
      <c r="F45" s="7" t="s">
        <v>99</v>
      </c>
      <c r="G45" s="7" t="s">
        <v>100</v>
      </c>
      <c r="H45" s="7">
        <v>99999</v>
      </c>
      <c r="I45" s="7" t="s">
        <v>30</v>
      </c>
      <c r="J45" s="7" t="s">
        <v>101</v>
      </c>
      <c r="K45" s="7" t="s">
        <v>45</v>
      </c>
      <c r="L45" s="8">
        <v>41697</v>
      </c>
      <c r="M45" s="7" t="s">
        <v>46</v>
      </c>
      <c r="N45" s="7" t="s">
        <v>139</v>
      </c>
      <c r="O45" s="7" t="s">
        <v>138</v>
      </c>
      <c r="P45" s="7" t="s">
        <v>99</v>
      </c>
      <c r="Q45" s="7" t="s">
        <v>100</v>
      </c>
      <c r="R45" s="7">
        <v>99999</v>
      </c>
      <c r="S45" s="7" t="s">
        <v>30</v>
      </c>
      <c r="T45" s="7" t="s">
        <v>79</v>
      </c>
      <c r="U45" s="7" t="s">
        <v>111</v>
      </c>
      <c r="V45" s="7" t="s">
        <v>112</v>
      </c>
      <c r="W45" s="7">
        <v>22</v>
      </c>
      <c r="X45" s="7">
        <v>98</v>
      </c>
      <c r="Y45" s="10">
        <v>2156</v>
      </c>
      <c r="Z45" s="9">
        <v>204.82000000000002</v>
      </c>
    </row>
    <row r="46" spans="1:26" x14ac:dyDescent="0.35">
      <c r="A46" s="7">
        <v>1046</v>
      </c>
      <c r="B46" s="8">
        <v>41696</v>
      </c>
      <c r="C46" s="7">
        <v>26</v>
      </c>
      <c r="D46" s="7" t="s">
        <v>140</v>
      </c>
      <c r="E46" s="7" t="s">
        <v>141</v>
      </c>
      <c r="F46" s="7" t="s">
        <v>115</v>
      </c>
      <c r="G46" s="7" t="s">
        <v>116</v>
      </c>
      <c r="H46" s="7">
        <v>99999</v>
      </c>
      <c r="I46" s="7" t="s">
        <v>30</v>
      </c>
      <c r="J46" s="7" t="s">
        <v>94</v>
      </c>
      <c r="K46" s="7" t="s">
        <v>95</v>
      </c>
      <c r="L46" s="8">
        <v>41698</v>
      </c>
      <c r="M46" s="7" t="s">
        <v>62</v>
      </c>
      <c r="N46" s="7" t="s">
        <v>142</v>
      </c>
      <c r="O46" s="7" t="s">
        <v>141</v>
      </c>
      <c r="P46" s="7" t="s">
        <v>115</v>
      </c>
      <c r="Q46" s="7" t="s">
        <v>116</v>
      </c>
      <c r="R46" s="7">
        <v>99999</v>
      </c>
      <c r="S46" s="7" t="s">
        <v>30</v>
      </c>
      <c r="T46" s="7" t="s">
        <v>48</v>
      </c>
      <c r="U46" s="7" t="s">
        <v>109</v>
      </c>
      <c r="V46" s="7" t="s">
        <v>110</v>
      </c>
      <c r="W46" s="7">
        <v>25</v>
      </c>
      <c r="X46" s="7">
        <v>21</v>
      </c>
      <c r="Y46" s="10">
        <v>525</v>
      </c>
      <c r="Z46" s="9">
        <v>53.550000000000004</v>
      </c>
    </row>
    <row r="47" spans="1:26" x14ac:dyDescent="0.35">
      <c r="A47" s="7">
        <v>1047</v>
      </c>
      <c r="B47" s="8">
        <v>41699</v>
      </c>
      <c r="C47" s="7">
        <v>29</v>
      </c>
      <c r="D47" s="7" t="s">
        <v>66</v>
      </c>
      <c r="E47" s="7" t="s">
        <v>67</v>
      </c>
      <c r="F47" s="7" t="s">
        <v>68</v>
      </c>
      <c r="G47" s="7" t="s">
        <v>69</v>
      </c>
      <c r="H47" s="7">
        <v>99999</v>
      </c>
      <c r="I47" s="7" t="s">
        <v>30</v>
      </c>
      <c r="J47" s="7" t="s">
        <v>70</v>
      </c>
      <c r="K47" s="7" t="s">
        <v>32</v>
      </c>
      <c r="L47" s="8">
        <v>41701</v>
      </c>
      <c r="M47" s="7" t="s">
        <v>33</v>
      </c>
      <c r="N47" s="7" t="s">
        <v>71</v>
      </c>
      <c r="O47" s="7" t="s">
        <v>67</v>
      </c>
      <c r="P47" s="7" t="s">
        <v>68</v>
      </c>
      <c r="Q47" s="7" t="s">
        <v>69</v>
      </c>
      <c r="R47" s="7">
        <v>99999</v>
      </c>
      <c r="S47" s="7" t="s">
        <v>30</v>
      </c>
      <c r="T47" s="7" t="s">
        <v>35</v>
      </c>
      <c r="U47" s="7" t="s">
        <v>143</v>
      </c>
      <c r="V47" s="7" t="s">
        <v>144</v>
      </c>
      <c r="W47" s="7">
        <v>39</v>
      </c>
      <c r="X47" s="7">
        <v>26</v>
      </c>
      <c r="Y47" s="10">
        <v>1014</v>
      </c>
      <c r="Z47" s="9">
        <v>106.47000000000001</v>
      </c>
    </row>
    <row r="48" spans="1:26" x14ac:dyDescent="0.35">
      <c r="A48" s="7">
        <v>1048</v>
      </c>
      <c r="B48" s="8">
        <v>41676</v>
      </c>
      <c r="C48" s="7">
        <v>6</v>
      </c>
      <c r="D48" s="7" t="s">
        <v>82</v>
      </c>
      <c r="E48" s="7" t="s">
        <v>83</v>
      </c>
      <c r="F48" s="7" t="s">
        <v>84</v>
      </c>
      <c r="G48" s="7" t="s">
        <v>85</v>
      </c>
      <c r="H48" s="7">
        <v>99999</v>
      </c>
      <c r="I48" s="7" t="s">
        <v>30</v>
      </c>
      <c r="J48" s="7" t="s">
        <v>86</v>
      </c>
      <c r="K48" s="7" t="s">
        <v>61</v>
      </c>
      <c r="L48" s="8">
        <v>41678</v>
      </c>
      <c r="M48" s="7" t="s">
        <v>62</v>
      </c>
      <c r="N48" s="7" t="s">
        <v>87</v>
      </c>
      <c r="O48" s="7" t="s">
        <v>83</v>
      </c>
      <c r="P48" s="7" t="s">
        <v>84</v>
      </c>
      <c r="Q48" s="7" t="s">
        <v>85</v>
      </c>
      <c r="R48" s="7">
        <v>99999</v>
      </c>
      <c r="S48" s="7" t="s">
        <v>30</v>
      </c>
      <c r="T48" s="7" t="s">
        <v>35</v>
      </c>
      <c r="U48" s="7" t="s">
        <v>49</v>
      </c>
      <c r="V48" s="7" t="s">
        <v>39</v>
      </c>
      <c r="W48" s="7">
        <v>30</v>
      </c>
      <c r="X48" s="7">
        <v>96</v>
      </c>
      <c r="Y48" s="10">
        <v>2880</v>
      </c>
      <c r="Z48" s="9">
        <v>296.64</v>
      </c>
    </row>
    <row r="49" spans="1:26" x14ac:dyDescent="0.35">
      <c r="A49" s="7">
        <v>1049</v>
      </c>
      <c r="B49" s="8">
        <v>41676</v>
      </c>
      <c r="C49" s="7">
        <v>6</v>
      </c>
      <c r="D49" s="7" t="s">
        <v>82</v>
      </c>
      <c r="E49" s="7" t="s">
        <v>83</v>
      </c>
      <c r="F49" s="7" t="s">
        <v>84</v>
      </c>
      <c r="G49" s="7" t="s">
        <v>85</v>
      </c>
      <c r="H49" s="7">
        <v>99999</v>
      </c>
      <c r="I49" s="7" t="s">
        <v>30</v>
      </c>
      <c r="J49" s="7" t="s">
        <v>86</v>
      </c>
      <c r="K49" s="7" t="s">
        <v>61</v>
      </c>
      <c r="L49" s="8">
        <v>41678</v>
      </c>
      <c r="M49" s="7" t="s">
        <v>62</v>
      </c>
      <c r="N49" s="7" t="s">
        <v>87</v>
      </c>
      <c r="O49" s="7" t="s">
        <v>83</v>
      </c>
      <c r="P49" s="7" t="s">
        <v>84</v>
      </c>
      <c r="Q49" s="7" t="s">
        <v>85</v>
      </c>
      <c r="R49" s="7">
        <v>99999</v>
      </c>
      <c r="S49" s="7" t="s">
        <v>30</v>
      </c>
      <c r="T49" s="7" t="s">
        <v>35</v>
      </c>
      <c r="U49" s="7" t="s">
        <v>50</v>
      </c>
      <c r="V49" s="7" t="s">
        <v>39</v>
      </c>
      <c r="W49" s="7">
        <v>53</v>
      </c>
      <c r="X49" s="7">
        <v>16</v>
      </c>
      <c r="Y49" s="10">
        <v>848</v>
      </c>
      <c r="Z49" s="9">
        <v>88.192000000000021</v>
      </c>
    </row>
    <row r="50" spans="1:26" x14ac:dyDescent="0.35">
      <c r="A50" s="7">
        <v>1050</v>
      </c>
      <c r="B50" s="8">
        <v>41674</v>
      </c>
      <c r="C50" s="7">
        <v>4</v>
      </c>
      <c r="D50" s="7" t="s">
        <v>40</v>
      </c>
      <c r="E50" s="7" t="s">
        <v>41</v>
      </c>
      <c r="F50" s="7" t="s">
        <v>42</v>
      </c>
      <c r="G50" s="7" t="s">
        <v>43</v>
      </c>
      <c r="H50" s="7">
        <v>99999</v>
      </c>
      <c r="I50" s="7" t="s">
        <v>30</v>
      </c>
      <c r="J50" s="7" t="s">
        <v>44</v>
      </c>
      <c r="K50" s="7" t="s">
        <v>45</v>
      </c>
      <c r="L50" s="8"/>
      <c r="N50" s="7" t="s">
        <v>47</v>
      </c>
      <c r="O50" s="7" t="s">
        <v>41</v>
      </c>
      <c r="P50" s="7" t="s">
        <v>42</v>
      </c>
      <c r="Q50" s="7" t="s">
        <v>43</v>
      </c>
      <c r="R50" s="7">
        <v>99999</v>
      </c>
      <c r="S50" s="7" t="s">
        <v>30</v>
      </c>
      <c r="U50" s="7" t="s">
        <v>145</v>
      </c>
      <c r="V50" s="7" t="s">
        <v>132</v>
      </c>
      <c r="W50" s="7">
        <v>38</v>
      </c>
      <c r="X50" s="7">
        <v>96</v>
      </c>
      <c r="Y50" s="10">
        <v>3648</v>
      </c>
      <c r="Z50" s="9">
        <v>346.56</v>
      </c>
    </row>
    <row r="51" spans="1:26" x14ac:dyDescent="0.35">
      <c r="A51" s="7">
        <v>1051</v>
      </c>
      <c r="B51" s="8">
        <v>41673</v>
      </c>
      <c r="C51" s="7">
        <v>3</v>
      </c>
      <c r="D51" s="7" t="s">
        <v>74</v>
      </c>
      <c r="E51" s="7" t="s">
        <v>75</v>
      </c>
      <c r="F51" s="7" t="s">
        <v>76</v>
      </c>
      <c r="G51" s="7" t="s">
        <v>77</v>
      </c>
      <c r="H51" s="7">
        <v>99999</v>
      </c>
      <c r="I51" s="7" t="s">
        <v>30</v>
      </c>
      <c r="J51" s="7" t="s">
        <v>31</v>
      </c>
      <c r="K51" s="7" t="s">
        <v>32</v>
      </c>
      <c r="N51" s="7" t="s">
        <v>78</v>
      </c>
      <c r="O51" s="7" t="s">
        <v>75</v>
      </c>
      <c r="P51" s="7" t="s">
        <v>76</v>
      </c>
      <c r="Q51" s="7" t="s">
        <v>77</v>
      </c>
      <c r="R51" s="7">
        <v>99999</v>
      </c>
      <c r="S51" s="7" t="s">
        <v>30</v>
      </c>
      <c r="U51" s="7" t="s">
        <v>103</v>
      </c>
      <c r="V51" s="7" t="s">
        <v>37</v>
      </c>
      <c r="W51" s="7">
        <v>2.99</v>
      </c>
      <c r="X51" s="7">
        <v>75</v>
      </c>
      <c r="Y51" s="10">
        <v>224.25000000000003</v>
      </c>
      <c r="Z51" s="9">
        <v>23.097750000000005</v>
      </c>
    </row>
    <row r="52" spans="1:26" x14ac:dyDescent="0.35">
      <c r="A52" s="7">
        <v>1052</v>
      </c>
      <c r="B52" s="8">
        <v>41707</v>
      </c>
      <c r="C52" s="7">
        <v>9</v>
      </c>
      <c r="D52" s="7" t="s">
        <v>125</v>
      </c>
      <c r="E52" s="7" t="s">
        <v>126</v>
      </c>
      <c r="F52" s="7" t="s">
        <v>127</v>
      </c>
      <c r="G52" s="7" t="s">
        <v>128</v>
      </c>
      <c r="H52" s="7">
        <v>99999</v>
      </c>
      <c r="I52" s="7" t="s">
        <v>30</v>
      </c>
      <c r="J52" s="7" t="s">
        <v>129</v>
      </c>
      <c r="K52" s="7" t="s">
        <v>32</v>
      </c>
      <c r="L52" s="7">
        <v>41709</v>
      </c>
      <c r="M52" s="7" t="s">
        <v>46</v>
      </c>
      <c r="N52" s="7" t="s">
        <v>130</v>
      </c>
      <c r="O52" s="7" t="s">
        <v>126</v>
      </c>
      <c r="P52" s="7" t="s">
        <v>127</v>
      </c>
      <c r="Q52" s="7" t="s">
        <v>128</v>
      </c>
      <c r="R52" s="7">
        <v>99999</v>
      </c>
      <c r="S52" s="7" t="s">
        <v>30</v>
      </c>
      <c r="T52" s="7" t="s">
        <v>35</v>
      </c>
      <c r="U52" s="7" t="s">
        <v>131</v>
      </c>
      <c r="V52" s="7" t="s">
        <v>132</v>
      </c>
      <c r="W52" s="7">
        <v>19.5</v>
      </c>
      <c r="X52" s="7">
        <v>55</v>
      </c>
      <c r="Y52" s="10">
        <v>1072.5</v>
      </c>
      <c r="Z52" s="9">
        <v>108.32250000000001</v>
      </c>
    </row>
    <row r="53" spans="1:26" x14ac:dyDescent="0.35">
      <c r="A53" s="7">
        <v>1053</v>
      </c>
      <c r="B53" s="8">
        <v>41707</v>
      </c>
      <c r="C53" s="7">
        <v>9</v>
      </c>
      <c r="D53" s="7" t="s">
        <v>125</v>
      </c>
      <c r="E53" s="7" t="s">
        <v>126</v>
      </c>
      <c r="F53" s="7" t="s">
        <v>127</v>
      </c>
      <c r="G53" s="7" t="s">
        <v>128</v>
      </c>
      <c r="H53" s="7">
        <v>99999</v>
      </c>
      <c r="I53" s="7" t="s">
        <v>30</v>
      </c>
      <c r="J53" s="7" t="s">
        <v>129</v>
      </c>
      <c r="K53" s="7" t="s">
        <v>32</v>
      </c>
      <c r="L53" s="8">
        <v>41709</v>
      </c>
      <c r="M53" s="7" t="s">
        <v>46</v>
      </c>
      <c r="N53" s="7" t="s">
        <v>130</v>
      </c>
      <c r="O53" s="7" t="s">
        <v>126</v>
      </c>
      <c r="P53" s="7" t="s">
        <v>127</v>
      </c>
      <c r="Q53" s="7" t="s">
        <v>128</v>
      </c>
      <c r="R53" s="7">
        <v>99999</v>
      </c>
      <c r="S53" s="7" t="s">
        <v>30</v>
      </c>
      <c r="T53" s="7" t="s">
        <v>35</v>
      </c>
      <c r="U53" s="7" t="s">
        <v>133</v>
      </c>
      <c r="V53" s="7" t="s">
        <v>134</v>
      </c>
      <c r="W53" s="9">
        <v>34.799999999999997</v>
      </c>
      <c r="X53" s="7">
        <v>11</v>
      </c>
      <c r="Y53" s="10">
        <v>382.79999999999995</v>
      </c>
      <c r="Z53" s="9">
        <v>36.748799999999996</v>
      </c>
    </row>
    <row r="54" spans="1:26" x14ac:dyDescent="0.35">
      <c r="A54" s="7">
        <v>1054</v>
      </c>
      <c r="B54" s="8">
        <v>41704</v>
      </c>
      <c r="C54" s="7">
        <v>6</v>
      </c>
      <c r="D54" s="7" t="s">
        <v>82</v>
      </c>
      <c r="E54" s="7" t="s">
        <v>83</v>
      </c>
      <c r="F54" s="7" t="s">
        <v>84</v>
      </c>
      <c r="G54" s="7" t="s">
        <v>85</v>
      </c>
      <c r="H54" s="7">
        <v>99999</v>
      </c>
      <c r="I54" s="7" t="s">
        <v>30</v>
      </c>
      <c r="J54" s="7" t="s">
        <v>86</v>
      </c>
      <c r="K54" s="7" t="s">
        <v>61</v>
      </c>
      <c r="L54" s="8">
        <v>41706</v>
      </c>
      <c r="M54" s="7" t="s">
        <v>33</v>
      </c>
      <c r="N54" s="7" t="s">
        <v>87</v>
      </c>
      <c r="O54" s="7" t="s">
        <v>83</v>
      </c>
      <c r="P54" s="7" t="s">
        <v>84</v>
      </c>
      <c r="Q54" s="7" t="s">
        <v>85</v>
      </c>
      <c r="R54" s="7">
        <v>99999</v>
      </c>
      <c r="S54" s="7" t="s">
        <v>30</v>
      </c>
      <c r="T54" s="7" t="s">
        <v>48</v>
      </c>
      <c r="U54" s="7" t="s">
        <v>36</v>
      </c>
      <c r="V54" s="7" t="s">
        <v>37</v>
      </c>
      <c r="W54" s="9">
        <v>14</v>
      </c>
      <c r="X54" s="7">
        <v>53</v>
      </c>
      <c r="Y54" s="10">
        <v>742</v>
      </c>
      <c r="Z54" s="9">
        <v>71.974000000000004</v>
      </c>
    </row>
    <row r="55" spans="1:26" x14ac:dyDescent="0.35">
      <c r="A55" s="7">
        <v>1055</v>
      </c>
      <c r="B55" s="8">
        <v>41706</v>
      </c>
      <c r="C55" s="7">
        <v>8</v>
      </c>
      <c r="D55" s="7" t="s">
        <v>56</v>
      </c>
      <c r="E55" s="7" t="s">
        <v>57</v>
      </c>
      <c r="F55" s="7" t="s">
        <v>58</v>
      </c>
      <c r="G55" s="7" t="s">
        <v>59</v>
      </c>
      <c r="H55" s="7">
        <v>99999</v>
      </c>
      <c r="I55" s="7" t="s">
        <v>30</v>
      </c>
      <c r="J55" s="7" t="s">
        <v>60</v>
      </c>
      <c r="K55" s="7" t="s">
        <v>61</v>
      </c>
      <c r="L55" s="8">
        <v>41708</v>
      </c>
      <c r="M55" s="7" t="s">
        <v>33</v>
      </c>
      <c r="N55" s="7" t="s">
        <v>63</v>
      </c>
      <c r="O55" s="7" t="s">
        <v>57</v>
      </c>
      <c r="P55" s="7" t="s">
        <v>58</v>
      </c>
      <c r="Q55" s="7" t="s">
        <v>59</v>
      </c>
      <c r="R55" s="7">
        <v>99999</v>
      </c>
      <c r="S55" s="7" t="s">
        <v>30</v>
      </c>
      <c r="T55" s="7" t="s">
        <v>35</v>
      </c>
      <c r="U55" s="7" t="s">
        <v>88</v>
      </c>
      <c r="V55" s="7" t="s">
        <v>89</v>
      </c>
      <c r="W55" s="9">
        <v>40</v>
      </c>
      <c r="X55" s="7">
        <v>85</v>
      </c>
      <c r="Y55" s="10">
        <v>3400</v>
      </c>
      <c r="Z55" s="9">
        <v>357</v>
      </c>
    </row>
    <row r="56" spans="1:26" x14ac:dyDescent="0.35">
      <c r="A56" s="7">
        <v>1056</v>
      </c>
      <c r="B56" s="8">
        <v>41706</v>
      </c>
      <c r="C56" s="7">
        <v>8</v>
      </c>
      <c r="D56" s="7" t="s">
        <v>56</v>
      </c>
      <c r="E56" s="7" t="s">
        <v>57</v>
      </c>
      <c r="F56" s="7" t="s">
        <v>58</v>
      </c>
      <c r="G56" s="7" t="s">
        <v>59</v>
      </c>
      <c r="H56" s="7">
        <v>99999</v>
      </c>
      <c r="I56" s="7" t="s">
        <v>30</v>
      </c>
      <c r="J56" s="7" t="s">
        <v>60</v>
      </c>
      <c r="K56" s="7" t="s">
        <v>61</v>
      </c>
      <c r="L56" s="8">
        <v>41708</v>
      </c>
      <c r="M56" s="7" t="s">
        <v>33</v>
      </c>
      <c r="N56" s="7" t="s">
        <v>63</v>
      </c>
      <c r="O56" s="7" t="s">
        <v>57</v>
      </c>
      <c r="P56" s="7" t="s">
        <v>58</v>
      </c>
      <c r="Q56" s="7" t="s">
        <v>59</v>
      </c>
      <c r="R56" s="7">
        <v>99999</v>
      </c>
      <c r="S56" s="7" t="s">
        <v>30</v>
      </c>
      <c r="T56" s="7" t="s">
        <v>35</v>
      </c>
      <c r="U56" s="7" t="s">
        <v>64</v>
      </c>
      <c r="V56" s="7" t="s">
        <v>65</v>
      </c>
      <c r="W56" s="9">
        <v>9.1999999999999993</v>
      </c>
      <c r="X56" s="7">
        <v>97</v>
      </c>
      <c r="Y56" s="10">
        <v>892.4</v>
      </c>
      <c r="Z56" s="9">
        <v>91.024800000000013</v>
      </c>
    </row>
    <row r="57" spans="1:26" x14ac:dyDescent="0.35">
      <c r="A57" s="7">
        <v>1057</v>
      </c>
      <c r="B57" s="8">
        <v>41723</v>
      </c>
      <c r="C57" s="7">
        <v>25</v>
      </c>
      <c r="D57" s="7" t="s">
        <v>137</v>
      </c>
      <c r="E57" s="7" t="s">
        <v>138</v>
      </c>
      <c r="F57" s="7" t="s">
        <v>99</v>
      </c>
      <c r="G57" s="7" t="s">
        <v>100</v>
      </c>
      <c r="H57" s="7">
        <v>99999</v>
      </c>
      <c r="I57" s="7" t="s">
        <v>30</v>
      </c>
      <c r="J57" s="7" t="s">
        <v>101</v>
      </c>
      <c r="K57" s="7" t="s">
        <v>45</v>
      </c>
      <c r="L57" s="8">
        <v>41725</v>
      </c>
      <c r="M57" s="7" t="s">
        <v>46</v>
      </c>
      <c r="N57" s="7" t="s">
        <v>139</v>
      </c>
      <c r="O57" s="7" t="s">
        <v>138</v>
      </c>
      <c r="P57" s="7" t="s">
        <v>99</v>
      </c>
      <c r="Q57" s="7" t="s">
        <v>100</v>
      </c>
      <c r="R57" s="7">
        <v>99999</v>
      </c>
      <c r="S57" s="7" t="s">
        <v>30</v>
      </c>
      <c r="T57" s="7" t="s">
        <v>79</v>
      </c>
      <c r="U57" s="7" t="s">
        <v>146</v>
      </c>
      <c r="V57" s="7" t="s">
        <v>65</v>
      </c>
      <c r="W57" s="9">
        <v>10</v>
      </c>
      <c r="X57" s="7">
        <v>46</v>
      </c>
      <c r="Y57" s="10">
        <v>460</v>
      </c>
      <c r="Z57" s="9">
        <v>46.46</v>
      </c>
    </row>
    <row r="58" spans="1:26" x14ac:dyDescent="0.35">
      <c r="A58" s="7">
        <v>1058</v>
      </c>
      <c r="B58" s="8">
        <v>41724</v>
      </c>
      <c r="C58" s="7">
        <v>26</v>
      </c>
      <c r="D58" s="7" t="s">
        <v>140</v>
      </c>
      <c r="E58" s="7" t="s">
        <v>141</v>
      </c>
      <c r="F58" s="7" t="s">
        <v>115</v>
      </c>
      <c r="G58" s="7" t="s">
        <v>116</v>
      </c>
      <c r="H58" s="7">
        <v>99999</v>
      </c>
      <c r="I58" s="7" t="s">
        <v>30</v>
      </c>
      <c r="J58" s="7" t="s">
        <v>94</v>
      </c>
      <c r="K58" s="7" t="s">
        <v>95</v>
      </c>
      <c r="L58" s="8">
        <v>41726</v>
      </c>
      <c r="M58" s="7" t="s">
        <v>62</v>
      </c>
      <c r="N58" s="7" t="s">
        <v>142</v>
      </c>
      <c r="O58" s="7" t="s">
        <v>141</v>
      </c>
      <c r="P58" s="7" t="s">
        <v>115</v>
      </c>
      <c r="Q58" s="7" t="s">
        <v>116</v>
      </c>
      <c r="R58" s="7">
        <v>99999</v>
      </c>
      <c r="S58" s="7" t="s">
        <v>30</v>
      </c>
      <c r="T58" s="7" t="s">
        <v>48</v>
      </c>
      <c r="U58" s="7" t="s">
        <v>147</v>
      </c>
      <c r="V58" s="7" t="s">
        <v>148</v>
      </c>
      <c r="W58" s="9">
        <v>21.35</v>
      </c>
      <c r="X58" s="7">
        <v>97</v>
      </c>
      <c r="Y58" s="10">
        <v>2070.9500000000003</v>
      </c>
      <c r="Z58" s="9">
        <v>196.74025</v>
      </c>
    </row>
    <row r="59" spans="1:26" x14ac:dyDescent="0.35">
      <c r="A59" s="7">
        <v>1059</v>
      </c>
      <c r="B59" s="8">
        <v>41724</v>
      </c>
      <c r="C59" s="7">
        <v>26</v>
      </c>
      <c r="D59" s="7" t="s">
        <v>140</v>
      </c>
      <c r="E59" s="7" t="s">
        <v>141</v>
      </c>
      <c r="F59" s="7" t="s">
        <v>115</v>
      </c>
      <c r="G59" s="7" t="s">
        <v>116</v>
      </c>
      <c r="H59" s="7">
        <v>99999</v>
      </c>
      <c r="I59" s="7" t="s">
        <v>30</v>
      </c>
      <c r="J59" s="7" t="s">
        <v>94</v>
      </c>
      <c r="K59" s="7" t="s">
        <v>95</v>
      </c>
      <c r="L59" s="8">
        <v>41726</v>
      </c>
      <c r="M59" s="7" t="s">
        <v>62</v>
      </c>
      <c r="N59" s="7" t="s">
        <v>142</v>
      </c>
      <c r="O59" s="7" t="s">
        <v>141</v>
      </c>
      <c r="P59" s="7" t="s">
        <v>115</v>
      </c>
      <c r="Q59" s="7" t="s">
        <v>116</v>
      </c>
      <c r="R59" s="7">
        <v>99999</v>
      </c>
      <c r="S59" s="7" t="s">
        <v>30</v>
      </c>
      <c r="T59" s="7" t="s">
        <v>48</v>
      </c>
      <c r="U59" s="7" t="s">
        <v>80</v>
      </c>
      <c r="V59" s="7" t="s">
        <v>81</v>
      </c>
      <c r="W59" s="9">
        <v>9.65</v>
      </c>
      <c r="X59" s="7">
        <v>97</v>
      </c>
      <c r="Y59" s="10">
        <v>936.05000000000007</v>
      </c>
      <c r="Z59" s="9">
        <v>95.477100000000021</v>
      </c>
    </row>
    <row r="60" spans="1:26" x14ac:dyDescent="0.35">
      <c r="A60" s="7">
        <v>1060</v>
      </c>
      <c r="B60" s="8">
        <v>41724</v>
      </c>
      <c r="C60" s="7">
        <v>26</v>
      </c>
      <c r="D60" s="7" t="s">
        <v>140</v>
      </c>
      <c r="E60" s="7" t="s">
        <v>141</v>
      </c>
      <c r="F60" s="7" t="s">
        <v>115</v>
      </c>
      <c r="G60" s="7" t="s">
        <v>116</v>
      </c>
      <c r="H60" s="7">
        <v>99999</v>
      </c>
      <c r="I60" s="7" t="s">
        <v>30</v>
      </c>
      <c r="J60" s="7" t="s">
        <v>94</v>
      </c>
      <c r="K60" s="7" t="s">
        <v>95</v>
      </c>
      <c r="L60" s="8">
        <v>41726</v>
      </c>
      <c r="M60" s="7" t="s">
        <v>62</v>
      </c>
      <c r="N60" s="7" t="s">
        <v>142</v>
      </c>
      <c r="O60" s="7" t="s">
        <v>141</v>
      </c>
      <c r="P60" s="7" t="s">
        <v>115</v>
      </c>
      <c r="Q60" s="7" t="s">
        <v>116</v>
      </c>
      <c r="R60" s="7">
        <v>99999</v>
      </c>
      <c r="S60" s="7" t="s">
        <v>30</v>
      </c>
      <c r="T60" s="7" t="s">
        <v>48</v>
      </c>
      <c r="U60" s="7" t="s">
        <v>123</v>
      </c>
      <c r="V60" s="7" t="s">
        <v>124</v>
      </c>
      <c r="W60" s="9">
        <v>18.399999999999999</v>
      </c>
      <c r="X60" s="7">
        <v>65</v>
      </c>
      <c r="Y60" s="10">
        <v>1196</v>
      </c>
      <c r="Z60" s="9">
        <v>123.18800000000002</v>
      </c>
    </row>
    <row r="61" spans="1:26" x14ac:dyDescent="0.35">
      <c r="A61" s="7">
        <v>1061</v>
      </c>
      <c r="B61" s="8">
        <v>41727</v>
      </c>
      <c r="C61" s="7">
        <v>29</v>
      </c>
      <c r="D61" s="7" t="s">
        <v>66</v>
      </c>
      <c r="E61" s="7" t="s">
        <v>67</v>
      </c>
      <c r="F61" s="7" t="s">
        <v>68</v>
      </c>
      <c r="G61" s="7" t="s">
        <v>69</v>
      </c>
      <c r="H61" s="7">
        <v>99999</v>
      </c>
      <c r="I61" s="7" t="s">
        <v>30</v>
      </c>
      <c r="J61" s="7" t="s">
        <v>70</v>
      </c>
      <c r="K61" s="7" t="s">
        <v>32</v>
      </c>
      <c r="L61" s="8">
        <v>41729</v>
      </c>
      <c r="M61" s="7" t="s">
        <v>33</v>
      </c>
      <c r="N61" s="7" t="s">
        <v>71</v>
      </c>
      <c r="O61" s="7" t="s">
        <v>67</v>
      </c>
      <c r="P61" s="7" t="s">
        <v>68</v>
      </c>
      <c r="Q61" s="7" t="s">
        <v>69</v>
      </c>
      <c r="R61" s="7">
        <v>99999</v>
      </c>
      <c r="S61" s="7" t="s">
        <v>30</v>
      </c>
      <c r="T61" s="7" t="s">
        <v>35</v>
      </c>
      <c r="U61" s="7" t="s">
        <v>36</v>
      </c>
      <c r="V61" s="7" t="s">
        <v>37</v>
      </c>
      <c r="W61" s="9">
        <v>14</v>
      </c>
      <c r="X61" s="7">
        <v>72</v>
      </c>
      <c r="Y61" s="10">
        <v>1008</v>
      </c>
      <c r="Z61" s="9">
        <v>100.80000000000001</v>
      </c>
    </row>
    <row r="62" spans="1:26" x14ac:dyDescent="0.35">
      <c r="A62" s="7">
        <v>1062</v>
      </c>
      <c r="B62" s="8">
        <v>41704</v>
      </c>
      <c r="C62" s="7">
        <v>6</v>
      </c>
      <c r="D62" s="7" t="s">
        <v>82</v>
      </c>
      <c r="E62" s="7" t="s">
        <v>83</v>
      </c>
      <c r="F62" s="7" t="s">
        <v>84</v>
      </c>
      <c r="G62" s="7" t="s">
        <v>85</v>
      </c>
      <c r="H62" s="7">
        <v>99999</v>
      </c>
      <c r="I62" s="7" t="s">
        <v>30</v>
      </c>
      <c r="J62" s="7" t="s">
        <v>86</v>
      </c>
      <c r="K62" s="7" t="s">
        <v>61</v>
      </c>
      <c r="L62" s="8">
        <v>41706</v>
      </c>
      <c r="M62" s="7" t="s">
        <v>62</v>
      </c>
      <c r="N62" s="7" t="s">
        <v>87</v>
      </c>
      <c r="O62" s="7" t="s">
        <v>83</v>
      </c>
      <c r="P62" s="7" t="s">
        <v>84</v>
      </c>
      <c r="Q62" s="7" t="s">
        <v>85</v>
      </c>
      <c r="R62" s="7">
        <v>99999</v>
      </c>
      <c r="S62" s="7" t="s">
        <v>30</v>
      </c>
      <c r="T62" s="7" t="s">
        <v>35</v>
      </c>
      <c r="U62" s="7" t="s">
        <v>72</v>
      </c>
      <c r="V62" s="7" t="s">
        <v>73</v>
      </c>
      <c r="W62" s="9">
        <v>12.75</v>
      </c>
      <c r="X62" s="7">
        <v>16</v>
      </c>
      <c r="Y62" s="10">
        <v>204</v>
      </c>
      <c r="Z62" s="9">
        <v>20.196000000000002</v>
      </c>
    </row>
    <row r="63" spans="1:26" x14ac:dyDescent="0.35">
      <c r="A63" s="7">
        <v>1064</v>
      </c>
      <c r="B63" s="8">
        <v>41702</v>
      </c>
      <c r="C63" s="7">
        <v>4</v>
      </c>
      <c r="D63" s="7" t="s">
        <v>40</v>
      </c>
      <c r="E63" s="7" t="s">
        <v>41</v>
      </c>
      <c r="F63" s="7" t="s">
        <v>42</v>
      </c>
      <c r="G63" s="7" t="s">
        <v>43</v>
      </c>
      <c r="H63" s="7">
        <v>99999</v>
      </c>
      <c r="I63" s="7" t="s">
        <v>30</v>
      </c>
      <c r="J63" s="7" t="s">
        <v>44</v>
      </c>
      <c r="K63" s="7" t="s">
        <v>45</v>
      </c>
      <c r="L63" s="8">
        <v>41704</v>
      </c>
      <c r="M63" s="7" t="s">
        <v>46</v>
      </c>
      <c r="N63" s="7" t="s">
        <v>47</v>
      </c>
      <c r="O63" s="7" t="s">
        <v>41</v>
      </c>
      <c r="P63" s="7" t="s">
        <v>42</v>
      </c>
      <c r="Q63" s="7" t="s">
        <v>43</v>
      </c>
      <c r="R63" s="7">
        <v>99999</v>
      </c>
      <c r="S63" s="7" t="s">
        <v>30</v>
      </c>
      <c r="T63" s="7" t="s">
        <v>48</v>
      </c>
      <c r="U63" s="7" t="s">
        <v>149</v>
      </c>
      <c r="V63" s="7" t="s">
        <v>110</v>
      </c>
      <c r="W63" s="9">
        <v>81</v>
      </c>
      <c r="X63" s="7">
        <v>77</v>
      </c>
      <c r="Y63" s="10">
        <v>6237</v>
      </c>
      <c r="Z63" s="9">
        <v>642.41100000000006</v>
      </c>
    </row>
    <row r="64" spans="1:26" x14ac:dyDescent="0.35">
      <c r="A64" s="7">
        <v>1065</v>
      </c>
      <c r="B64" s="8">
        <v>41702</v>
      </c>
      <c r="C64" s="7">
        <v>4</v>
      </c>
      <c r="D64" s="7" t="s">
        <v>40</v>
      </c>
      <c r="E64" s="7" t="s">
        <v>41</v>
      </c>
      <c r="F64" s="7" t="s">
        <v>42</v>
      </c>
      <c r="G64" s="7" t="s">
        <v>43</v>
      </c>
      <c r="H64" s="7">
        <v>99999</v>
      </c>
      <c r="I64" s="7" t="s">
        <v>30</v>
      </c>
      <c r="J64" s="7" t="s">
        <v>44</v>
      </c>
      <c r="K64" s="7" t="s">
        <v>45</v>
      </c>
      <c r="L64" s="8">
        <v>41704</v>
      </c>
      <c r="M64" s="7" t="s">
        <v>46</v>
      </c>
      <c r="N64" s="7" t="s">
        <v>47</v>
      </c>
      <c r="O64" s="7" t="s">
        <v>41</v>
      </c>
      <c r="P64" s="7" t="s">
        <v>42</v>
      </c>
      <c r="Q64" s="7" t="s">
        <v>43</v>
      </c>
      <c r="R64" s="7">
        <v>99999</v>
      </c>
      <c r="S64" s="7" t="s">
        <v>30</v>
      </c>
      <c r="T64" s="7" t="s">
        <v>48</v>
      </c>
      <c r="U64" s="7" t="s">
        <v>150</v>
      </c>
      <c r="V64" s="7" t="s">
        <v>151</v>
      </c>
      <c r="W64" s="7">
        <v>7</v>
      </c>
      <c r="X64" s="7">
        <v>37</v>
      </c>
      <c r="Y64" s="10">
        <v>259</v>
      </c>
      <c r="Z64" s="9">
        <v>24.605</v>
      </c>
    </row>
    <row r="65" spans="1:26" x14ac:dyDescent="0.35">
      <c r="A65" s="7">
        <v>1067</v>
      </c>
      <c r="B65" s="8">
        <v>41706</v>
      </c>
      <c r="C65" s="7">
        <v>8</v>
      </c>
      <c r="D65" s="7" t="s">
        <v>56</v>
      </c>
      <c r="E65" s="7" t="s">
        <v>57</v>
      </c>
      <c r="F65" s="7" t="s">
        <v>58</v>
      </c>
      <c r="G65" s="7" t="s">
        <v>59</v>
      </c>
      <c r="H65" s="7">
        <v>99999</v>
      </c>
      <c r="I65" s="7" t="s">
        <v>30</v>
      </c>
      <c r="J65" s="7" t="s">
        <v>60</v>
      </c>
      <c r="K65" s="7" t="s">
        <v>61</v>
      </c>
      <c r="L65" s="8">
        <v>41708</v>
      </c>
      <c r="M65" s="7" t="s">
        <v>62</v>
      </c>
      <c r="N65" s="7" t="s">
        <v>63</v>
      </c>
      <c r="O65" s="7" t="s">
        <v>57</v>
      </c>
      <c r="P65" s="7" t="s">
        <v>58</v>
      </c>
      <c r="Q65" s="7" t="s">
        <v>59</v>
      </c>
      <c r="R65" s="7">
        <v>99999</v>
      </c>
      <c r="S65" s="7" t="s">
        <v>30</v>
      </c>
      <c r="T65" s="7" t="s">
        <v>48</v>
      </c>
      <c r="U65" s="7" t="s">
        <v>133</v>
      </c>
      <c r="V65" s="7" t="s">
        <v>134</v>
      </c>
      <c r="W65" s="7">
        <v>34.799999999999997</v>
      </c>
      <c r="X65" s="7">
        <v>63</v>
      </c>
      <c r="Y65" s="10">
        <v>2192.3999999999996</v>
      </c>
      <c r="Z65" s="9">
        <v>217.04759999999999</v>
      </c>
    </row>
    <row r="66" spans="1:26" x14ac:dyDescent="0.35">
      <c r="A66" s="7">
        <v>1070</v>
      </c>
      <c r="B66" s="8">
        <v>41701</v>
      </c>
      <c r="C66" s="7">
        <v>3</v>
      </c>
      <c r="D66" s="7" t="s">
        <v>74</v>
      </c>
      <c r="E66" s="7" t="s">
        <v>75</v>
      </c>
      <c r="F66" s="7" t="s">
        <v>76</v>
      </c>
      <c r="G66" s="7" t="s">
        <v>77</v>
      </c>
      <c r="H66" s="7">
        <v>99999</v>
      </c>
      <c r="I66" s="7" t="s">
        <v>30</v>
      </c>
      <c r="J66" s="7" t="s">
        <v>31</v>
      </c>
      <c r="K66" s="7" t="s">
        <v>32</v>
      </c>
      <c r="L66" s="8">
        <v>41703</v>
      </c>
      <c r="M66" s="7" t="s">
        <v>33</v>
      </c>
      <c r="N66" s="7" t="s">
        <v>78</v>
      </c>
      <c r="O66" s="7" t="s">
        <v>75</v>
      </c>
      <c r="P66" s="7" t="s">
        <v>76</v>
      </c>
      <c r="Q66" s="7" t="s">
        <v>77</v>
      </c>
      <c r="R66" s="7">
        <v>99999</v>
      </c>
      <c r="S66" s="7" t="s">
        <v>30</v>
      </c>
      <c r="T66" s="7" t="s">
        <v>79</v>
      </c>
      <c r="U66" s="7" t="s">
        <v>135</v>
      </c>
      <c r="V66" s="7" t="s">
        <v>112</v>
      </c>
      <c r="W66" s="7">
        <v>10</v>
      </c>
      <c r="X66" s="7">
        <v>48</v>
      </c>
      <c r="Y66" s="10">
        <v>480</v>
      </c>
      <c r="Z66" s="9">
        <v>48</v>
      </c>
    </row>
    <row r="67" spans="1:26" x14ac:dyDescent="0.35">
      <c r="A67" s="7">
        <v>1071</v>
      </c>
      <c r="B67" s="8">
        <v>41701</v>
      </c>
      <c r="C67" s="7">
        <v>3</v>
      </c>
      <c r="D67" s="7" t="s">
        <v>74</v>
      </c>
      <c r="E67" s="7" t="s">
        <v>75</v>
      </c>
      <c r="F67" s="7" t="s">
        <v>76</v>
      </c>
      <c r="G67" s="7" t="s">
        <v>77</v>
      </c>
      <c r="H67" s="7">
        <v>99999</v>
      </c>
      <c r="I67" s="7" t="s">
        <v>30</v>
      </c>
      <c r="J67" s="7" t="s">
        <v>31</v>
      </c>
      <c r="K67" s="7" t="s">
        <v>32</v>
      </c>
      <c r="L67" s="8">
        <v>41703</v>
      </c>
      <c r="M67" s="7" t="s">
        <v>33</v>
      </c>
      <c r="N67" s="7" t="s">
        <v>78</v>
      </c>
      <c r="O67" s="7" t="s">
        <v>75</v>
      </c>
      <c r="P67" s="7" t="s">
        <v>76</v>
      </c>
      <c r="Q67" s="7" t="s">
        <v>77</v>
      </c>
      <c r="R67" s="7">
        <v>99999</v>
      </c>
      <c r="S67" s="7" t="s">
        <v>30</v>
      </c>
      <c r="T67" s="7" t="s">
        <v>79</v>
      </c>
      <c r="U67" s="7" t="s">
        <v>88</v>
      </c>
      <c r="V67" s="7" t="s">
        <v>89</v>
      </c>
      <c r="W67" s="7">
        <v>40</v>
      </c>
      <c r="X67" s="7">
        <v>71</v>
      </c>
      <c r="Y67" s="10">
        <v>2840</v>
      </c>
      <c r="Z67" s="9">
        <v>295.36</v>
      </c>
    </row>
    <row r="68" spans="1:26" x14ac:dyDescent="0.35">
      <c r="A68" s="7">
        <v>1075</v>
      </c>
      <c r="B68" s="8">
        <v>41708</v>
      </c>
      <c r="C68" s="7">
        <v>10</v>
      </c>
      <c r="D68" s="7" t="s">
        <v>97</v>
      </c>
      <c r="E68" s="7" t="s">
        <v>98</v>
      </c>
      <c r="F68" s="7" t="s">
        <v>99</v>
      </c>
      <c r="G68" s="7" t="s">
        <v>100</v>
      </c>
      <c r="H68" s="7">
        <v>99999</v>
      </c>
      <c r="I68" s="7" t="s">
        <v>30</v>
      </c>
      <c r="J68" s="7" t="s">
        <v>101</v>
      </c>
      <c r="K68" s="7" t="s">
        <v>45</v>
      </c>
      <c r="L68" s="8">
        <v>41710</v>
      </c>
      <c r="M68" s="7" t="s">
        <v>33</v>
      </c>
      <c r="N68" s="7" t="s">
        <v>102</v>
      </c>
      <c r="O68" s="7" t="s">
        <v>98</v>
      </c>
      <c r="P68" s="7" t="s">
        <v>99</v>
      </c>
      <c r="Q68" s="7" t="s">
        <v>100</v>
      </c>
      <c r="R68" s="7">
        <v>99999</v>
      </c>
      <c r="S68" s="7" t="s">
        <v>30</v>
      </c>
      <c r="T68" s="7" t="s">
        <v>48</v>
      </c>
      <c r="U68" s="7" t="s">
        <v>136</v>
      </c>
      <c r="V68" s="7" t="s">
        <v>39</v>
      </c>
      <c r="W68" s="7">
        <v>10</v>
      </c>
      <c r="X68" s="7">
        <v>55</v>
      </c>
      <c r="Y68" s="10">
        <v>550</v>
      </c>
      <c r="Z68" s="9">
        <v>55</v>
      </c>
    </row>
    <row r="69" spans="1:26" x14ac:dyDescent="0.35">
      <c r="A69" s="7">
        <v>1077</v>
      </c>
      <c r="B69" s="8">
        <v>41708</v>
      </c>
      <c r="C69" s="7">
        <v>10</v>
      </c>
      <c r="D69" s="7" t="s">
        <v>97</v>
      </c>
      <c r="E69" s="7" t="s">
        <v>98</v>
      </c>
      <c r="F69" s="7" t="s">
        <v>99</v>
      </c>
      <c r="G69" s="7" t="s">
        <v>100</v>
      </c>
      <c r="H69" s="7">
        <v>99999</v>
      </c>
      <c r="I69" s="7" t="s">
        <v>30</v>
      </c>
      <c r="J69" s="7" t="s">
        <v>101</v>
      </c>
      <c r="K69" s="7" t="s">
        <v>45</v>
      </c>
      <c r="L69" s="8"/>
      <c r="M69" s="7" t="s">
        <v>46</v>
      </c>
      <c r="N69" s="7" t="s">
        <v>102</v>
      </c>
      <c r="O69" s="7" t="s">
        <v>98</v>
      </c>
      <c r="P69" s="7" t="s">
        <v>99</v>
      </c>
      <c r="Q69" s="7" t="s">
        <v>100</v>
      </c>
      <c r="R69" s="7">
        <v>99999</v>
      </c>
      <c r="S69" s="7" t="s">
        <v>30</v>
      </c>
      <c r="U69" s="7" t="s">
        <v>38</v>
      </c>
      <c r="V69" s="7" t="s">
        <v>39</v>
      </c>
      <c r="W69" s="7">
        <v>3.5</v>
      </c>
      <c r="X69" s="7">
        <v>21</v>
      </c>
      <c r="Y69" s="10">
        <v>73.5</v>
      </c>
      <c r="Z69" s="9">
        <v>7.3500000000000005</v>
      </c>
    </row>
    <row r="70" spans="1:26" x14ac:dyDescent="0.35">
      <c r="A70" s="7">
        <v>1078</v>
      </c>
      <c r="B70" s="8">
        <v>41709</v>
      </c>
      <c r="C70" s="7">
        <v>11</v>
      </c>
      <c r="D70" s="7" t="s">
        <v>113</v>
      </c>
      <c r="E70" s="7" t="s">
        <v>114</v>
      </c>
      <c r="F70" s="7" t="s">
        <v>115</v>
      </c>
      <c r="G70" s="7" t="s">
        <v>116</v>
      </c>
      <c r="H70" s="7">
        <v>99999</v>
      </c>
      <c r="I70" s="7" t="s">
        <v>30</v>
      </c>
      <c r="J70" s="7" t="s">
        <v>94</v>
      </c>
      <c r="K70" s="7" t="s">
        <v>95</v>
      </c>
      <c r="L70" s="8"/>
      <c r="M70" s="7" t="s">
        <v>62</v>
      </c>
      <c r="N70" s="7" t="s">
        <v>117</v>
      </c>
      <c r="O70" s="7" t="s">
        <v>114</v>
      </c>
      <c r="P70" s="7" t="s">
        <v>115</v>
      </c>
      <c r="Q70" s="7" t="s">
        <v>116</v>
      </c>
      <c r="R70" s="7">
        <v>99999</v>
      </c>
      <c r="S70" s="7" t="s">
        <v>30</v>
      </c>
      <c r="U70" s="7" t="s">
        <v>88</v>
      </c>
      <c r="V70" s="7" t="s">
        <v>89</v>
      </c>
      <c r="W70" s="7">
        <v>40</v>
      </c>
      <c r="X70" s="7">
        <v>67</v>
      </c>
      <c r="Y70" s="10">
        <v>2680</v>
      </c>
      <c r="Z70" s="9">
        <v>270.68</v>
      </c>
    </row>
    <row r="71" spans="1:26" x14ac:dyDescent="0.35">
      <c r="A71" s="7">
        <v>1079</v>
      </c>
      <c r="B71" s="8">
        <v>41699</v>
      </c>
      <c r="C71" s="7">
        <v>1</v>
      </c>
      <c r="D71" s="7" t="s">
        <v>118</v>
      </c>
      <c r="E71" s="7" t="s">
        <v>119</v>
      </c>
      <c r="F71" s="7" t="s">
        <v>120</v>
      </c>
      <c r="G71" s="7" t="s">
        <v>121</v>
      </c>
      <c r="H71" s="7">
        <v>99999</v>
      </c>
      <c r="I71" s="7" t="s">
        <v>30</v>
      </c>
      <c r="J71" s="7" t="s">
        <v>60</v>
      </c>
      <c r="K71" s="7" t="s">
        <v>61</v>
      </c>
      <c r="L71" s="8"/>
      <c r="M71" s="7" t="s">
        <v>62</v>
      </c>
      <c r="N71" s="7" t="s">
        <v>122</v>
      </c>
      <c r="O71" s="7" t="s">
        <v>119</v>
      </c>
      <c r="P71" s="7" t="s">
        <v>120</v>
      </c>
      <c r="Q71" s="7" t="s">
        <v>121</v>
      </c>
      <c r="R71" s="7">
        <v>99999</v>
      </c>
      <c r="S71" s="7" t="s">
        <v>30</v>
      </c>
      <c r="U71" s="7" t="s">
        <v>123</v>
      </c>
      <c r="V71" s="7" t="s">
        <v>124</v>
      </c>
      <c r="W71" s="7">
        <v>18.399999999999999</v>
      </c>
      <c r="X71" s="7">
        <v>75</v>
      </c>
      <c r="Y71" s="10">
        <v>1380</v>
      </c>
      <c r="Z71" s="9">
        <v>138</v>
      </c>
    </row>
    <row r="72" spans="1:26" x14ac:dyDescent="0.35">
      <c r="A72" s="7">
        <v>1080</v>
      </c>
      <c r="B72" s="8">
        <v>41726</v>
      </c>
      <c r="C72" s="7">
        <v>28</v>
      </c>
      <c r="D72" s="7" t="s">
        <v>90</v>
      </c>
      <c r="E72" s="7" t="s">
        <v>91</v>
      </c>
      <c r="F72" s="7" t="s">
        <v>92</v>
      </c>
      <c r="G72" s="7" t="s">
        <v>93</v>
      </c>
      <c r="H72" s="7">
        <v>99999</v>
      </c>
      <c r="I72" s="7" t="s">
        <v>30</v>
      </c>
      <c r="J72" s="7" t="s">
        <v>94</v>
      </c>
      <c r="K72" s="7" t="s">
        <v>95</v>
      </c>
      <c r="L72" s="8">
        <v>41728</v>
      </c>
      <c r="M72" s="7" t="s">
        <v>62</v>
      </c>
      <c r="N72" s="7" t="s">
        <v>96</v>
      </c>
      <c r="O72" s="7" t="s">
        <v>91</v>
      </c>
      <c r="P72" s="7" t="s">
        <v>92</v>
      </c>
      <c r="Q72" s="7" t="s">
        <v>93</v>
      </c>
      <c r="R72" s="7">
        <v>99999</v>
      </c>
      <c r="S72" s="7" t="s">
        <v>30</v>
      </c>
      <c r="T72" s="7" t="s">
        <v>48</v>
      </c>
      <c r="U72" s="7" t="s">
        <v>55</v>
      </c>
      <c r="V72" s="7" t="s">
        <v>37</v>
      </c>
      <c r="W72" s="7">
        <v>46</v>
      </c>
      <c r="X72" s="7">
        <v>17</v>
      </c>
      <c r="Y72" s="10">
        <v>782</v>
      </c>
      <c r="Z72" s="9">
        <v>80.546000000000006</v>
      </c>
    </row>
    <row r="73" spans="1:26" x14ac:dyDescent="0.35">
      <c r="A73" s="7">
        <v>1081</v>
      </c>
      <c r="B73" s="8">
        <v>41733</v>
      </c>
      <c r="C73" s="7">
        <v>4</v>
      </c>
      <c r="D73" s="7" t="s">
        <v>40</v>
      </c>
      <c r="E73" s="7" t="s">
        <v>41</v>
      </c>
      <c r="F73" s="7" t="s">
        <v>42</v>
      </c>
      <c r="G73" s="7" t="s">
        <v>43</v>
      </c>
      <c r="H73" s="7">
        <v>99999</v>
      </c>
      <c r="I73" s="7" t="s">
        <v>30</v>
      </c>
      <c r="J73" s="7" t="s">
        <v>44</v>
      </c>
      <c r="K73" s="7" t="s">
        <v>45</v>
      </c>
      <c r="L73" s="8">
        <v>41735</v>
      </c>
      <c r="M73" s="7" t="s">
        <v>46</v>
      </c>
      <c r="N73" s="7" t="s">
        <v>47</v>
      </c>
      <c r="O73" s="7" t="s">
        <v>41</v>
      </c>
      <c r="P73" s="7" t="s">
        <v>42</v>
      </c>
      <c r="Q73" s="7" t="s">
        <v>43</v>
      </c>
      <c r="R73" s="7">
        <v>99999</v>
      </c>
      <c r="S73" s="7" t="s">
        <v>30</v>
      </c>
      <c r="T73" s="7" t="s">
        <v>48</v>
      </c>
      <c r="U73" s="7" t="s">
        <v>38</v>
      </c>
      <c r="V73" s="7" t="s">
        <v>39</v>
      </c>
      <c r="W73" s="7">
        <v>3.5</v>
      </c>
      <c r="X73" s="7">
        <v>48</v>
      </c>
      <c r="Y73" s="10">
        <v>168</v>
      </c>
      <c r="Z73" s="9">
        <v>16.295999999999999</v>
      </c>
    </row>
    <row r="74" spans="1:26" x14ac:dyDescent="0.35">
      <c r="A74" s="7">
        <v>1082</v>
      </c>
      <c r="B74" s="8">
        <v>41741</v>
      </c>
      <c r="C74" s="7">
        <v>12</v>
      </c>
      <c r="D74" s="7" t="s">
        <v>51</v>
      </c>
      <c r="E74" s="7" t="s">
        <v>52</v>
      </c>
      <c r="F74" s="7" t="s">
        <v>28</v>
      </c>
      <c r="G74" s="7" t="s">
        <v>29</v>
      </c>
      <c r="H74" s="7">
        <v>99999</v>
      </c>
      <c r="I74" s="7" t="s">
        <v>30</v>
      </c>
      <c r="J74" s="7" t="s">
        <v>31</v>
      </c>
      <c r="K74" s="7" t="s">
        <v>32</v>
      </c>
      <c r="L74" s="8">
        <v>41743</v>
      </c>
      <c r="M74" s="7" t="s">
        <v>33</v>
      </c>
      <c r="N74" s="7" t="s">
        <v>53</v>
      </c>
      <c r="O74" s="7" t="s">
        <v>52</v>
      </c>
      <c r="P74" s="7" t="s">
        <v>28</v>
      </c>
      <c r="Q74" s="7" t="s">
        <v>29</v>
      </c>
      <c r="R74" s="7">
        <v>99999</v>
      </c>
      <c r="S74" s="7" t="s">
        <v>30</v>
      </c>
      <c r="T74" s="7" t="s">
        <v>48</v>
      </c>
      <c r="U74" s="7" t="s">
        <v>54</v>
      </c>
      <c r="V74" s="7" t="s">
        <v>37</v>
      </c>
      <c r="W74" s="7">
        <v>18</v>
      </c>
      <c r="X74" s="7">
        <v>74</v>
      </c>
      <c r="Y74" s="10">
        <v>1332</v>
      </c>
      <c r="Z74" s="9">
        <v>137.19600000000003</v>
      </c>
    </row>
    <row r="75" spans="1:26" x14ac:dyDescent="0.35">
      <c r="A75" s="7">
        <v>1083</v>
      </c>
      <c r="B75" s="8">
        <v>41741</v>
      </c>
      <c r="C75" s="7">
        <v>12</v>
      </c>
      <c r="D75" s="7" t="s">
        <v>51</v>
      </c>
      <c r="E75" s="7" t="s">
        <v>52</v>
      </c>
      <c r="F75" s="7" t="s">
        <v>28</v>
      </c>
      <c r="G75" s="7" t="s">
        <v>29</v>
      </c>
      <c r="H75" s="7">
        <v>99999</v>
      </c>
      <c r="I75" s="7" t="s">
        <v>30</v>
      </c>
      <c r="J75" s="7" t="s">
        <v>31</v>
      </c>
      <c r="K75" s="7" t="s">
        <v>32</v>
      </c>
      <c r="L75" s="8">
        <v>41743</v>
      </c>
      <c r="M75" s="7" t="s">
        <v>33</v>
      </c>
      <c r="N75" s="7" t="s">
        <v>53</v>
      </c>
      <c r="O75" s="7" t="s">
        <v>52</v>
      </c>
      <c r="P75" s="7" t="s">
        <v>28</v>
      </c>
      <c r="Q75" s="7" t="s">
        <v>29</v>
      </c>
      <c r="R75" s="7">
        <v>99999</v>
      </c>
      <c r="S75" s="7" t="s">
        <v>30</v>
      </c>
      <c r="T75" s="7" t="s">
        <v>48</v>
      </c>
      <c r="U75" s="7" t="s">
        <v>55</v>
      </c>
      <c r="V75" s="7" t="s">
        <v>37</v>
      </c>
      <c r="W75" s="7">
        <v>46</v>
      </c>
      <c r="X75" s="7">
        <v>96</v>
      </c>
      <c r="Y75" s="10">
        <v>4416</v>
      </c>
      <c r="Z75" s="9">
        <v>428.35200000000003</v>
      </c>
    </row>
    <row r="76" spans="1:26" x14ac:dyDescent="0.35">
      <c r="A76" s="7">
        <v>1084</v>
      </c>
      <c r="B76" s="8">
        <v>41737</v>
      </c>
      <c r="C76" s="7">
        <v>8</v>
      </c>
      <c r="D76" s="7" t="s">
        <v>56</v>
      </c>
      <c r="E76" s="7" t="s">
        <v>57</v>
      </c>
      <c r="F76" s="7" t="s">
        <v>58</v>
      </c>
      <c r="G76" s="7" t="s">
        <v>59</v>
      </c>
      <c r="H76" s="7">
        <v>99999</v>
      </c>
      <c r="I76" s="7" t="s">
        <v>30</v>
      </c>
      <c r="J76" s="7" t="s">
        <v>60</v>
      </c>
      <c r="K76" s="7" t="s">
        <v>61</v>
      </c>
      <c r="L76" s="8">
        <v>41739</v>
      </c>
      <c r="M76" s="7" t="s">
        <v>62</v>
      </c>
      <c r="N76" s="7" t="s">
        <v>63</v>
      </c>
      <c r="O76" s="7" t="s">
        <v>57</v>
      </c>
      <c r="P76" s="7" t="s">
        <v>58</v>
      </c>
      <c r="Q76" s="7" t="s">
        <v>59</v>
      </c>
      <c r="R76" s="7">
        <v>99999</v>
      </c>
      <c r="S76" s="7" t="s">
        <v>30</v>
      </c>
      <c r="T76" s="7" t="s">
        <v>48</v>
      </c>
      <c r="U76" s="7" t="s">
        <v>64</v>
      </c>
      <c r="V76" s="7" t="s">
        <v>65</v>
      </c>
      <c r="W76" s="7">
        <v>9.1999999999999993</v>
      </c>
      <c r="X76" s="7">
        <v>12</v>
      </c>
      <c r="Y76" s="10">
        <v>110.39999999999999</v>
      </c>
      <c r="Z76" s="9">
        <v>11.3712</v>
      </c>
    </row>
    <row r="77" spans="1:26" x14ac:dyDescent="0.35">
      <c r="A77" s="7">
        <v>1085</v>
      </c>
      <c r="B77" s="8">
        <v>41733</v>
      </c>
      <c r="C77" s="7">
        <v>4</v>
      </c>
      <c r="D77" s="7" t="s">
        <v>40</v>
      </c>
      <c r="E77" s="7" t="s">
        <v>41</v>
      </c>
      <c r="F77" s="7" t="s">
        <v>42</v>
      </c>
      <c r="G77" s="7" t="s">
        <v>43</v>
      </c>
      <c r="H77" s="7">
        <v>99999</v>
      </c>
      <c r="I77" s="7" t="s">
        <v>30</v>
      </c>
      <c r="J77" s="7" t="s">
        <v>44</v>
      </c>
      <c r="K77" s="7" t="s">
        <v>45</v>
      </c>
      <c r="L77" s="7">
        <v>41735</v>
      </c>
      <c r="M77" s="7" t="s">
        <v>62</v>
      </c>
      <c r="N77" s="7" t="s">
        <v>47</v>
      </c>
      <c r="O77" s="7" t="s">
        <v>41</v>
      </c>
      <c r="P77" s="7" t="s">
        <v>42</v>
      </c>
      <c r="Q77" s="7" t="s">
        <v>43</v>
      </c>
      <c r="R77" s="7">
        <v>99999</v>
      </c>
      <c r="S77" s="7" t="s">
        <v>30</v>
      </c>
      <c r="T77" s="7" t="s">
        <v>35</v>
      </c>
      <c r="U77" s="7" t="s">
        <v>64</v>
      </c>
      <c r="V77" s="7" t="s">
        <v>65</v>
      </c>
      <c r="W77" s="7">
        <v>9.1999999999999993</v>
      </c>
      <c r="X77" s="7">
        <v>62</v>
      </c>
      <c r="Y77" s="10">
        <v>570.4</v>
      </c>
      <c r="Z77" s="9">
        <v>58.751199999999997</v>
      </c>
    </row>
    <row r="78" spans="1:26" x14ac:dyDescent="0.35">
      <c r="A78" s="7">
        <v>1086</v>
      </c>
      <c r="B78" s="8">
        <v>41758</v>
      </c>
      <c r="C78" s="7">
        <v>29</v>
      </c>
      <c r="D78" s="7" t="s">
        <v>66</v>
      </c>
      <c r="E78" s="7" t="s">
        <v>67</v>
      </c>
      <c r="F78" s="7" t="s">
        <v>68</v>
      </c>
      <c r="G78" s="7" t="s">
        <v>69</v>
      </c>
      <c r="H78" s="7">
        <v>99999</v>
      </c>
      <c r="I78" s="7" t="s">
        <v>30</v>
      </c>
      <c r="J78" s="7" t="s">
        <v>70</v>
      </c>
      <c r="K78" s="7" t="s">
        <v>32</v>
      </c>
      <c r="L78" s="7">
        <v>41760</v>
      </c>
      <c r="M78" s="7" t="s">
        <v>33</v>
      </c>
      <c r="N78" s="7" t="s">
        <v>71</v>
      </c>
      <c r="O78" s="7" t="s">
        <v>67</v>
      </c>
      <c r="P78" s="7" t="s">
        <v>68</v>
      </c>
      <c r="Q78" s="7" t="s">
        <v>69</v>
      </c>
      <c r="R78" s="7">
        <v>99999</v>
      </c>
      <c r="S78" s="7" t="s">
        <v>30</v>
      </c>
      <c r="T78" s="7" t="s">
        <v>35</v>
      </c>
      <c r="U78" s="7" t="s">
        <v>72</v>
      </c>
      <c r="V78" s="7" t="s">
        <v>73</v>
      </c>
      <c r="W78" s="7">
        <v>12.75</v>
      </c>
      <c r="X78" s="7">
        <v>35</v>
      </c>
      <c r="Y78" s="10">
        <v>446.25</v>
      </c>
      <c r="Z78" s="9">
        <v>45.963750000000005</v>
      </c>
    </row>
    <row r="79" spans="1:26" x14ac:dyDescent="0.35">
      <c r="A79" s="7">
        <v>1087</v>
      </c>
      <c r="B79" s="8">
        <v>41732</v>
      </c>
      <c r="C79" s="7">
        <v>3</v>
      </c>
      <c r="D79" s="7" t="s">
        <v>74</v>
      </c>
      <c r="E79" s="7" t="s">
        <v>75</v>
      </c>
      <c r="F79" s="7" t="s">
        <v>76</v>
      </c>
      <c r="G79" s="7" t="s">
        <v>77</v>
      </c>
      <c r="H79" s="7">
        <v>99999</v>
      </c>
      <c r="I79" s="7" t="s">
        <v>30</v>
      </c>
      <c r="J79" s="7" t="s">
        <v>31</v>
      </c>
      <c r="K79" s="7" t="s">
        <v>32</v>
      </c>
      <c r="L79" s="7">
        <v>41734</v>
      </c>
      <c r="M79" s="7" t="s">
        <v>33</v>
      </c>
      <c r="N79" s="7" t="s">
        <v>78</v>
      </c>
      <c r="O79" s="7" t="s">
        <v>75</v>
      </c>
      <c r="P79" s="7" t="s">
        <v>76</v>
      </c>
      <c r="Q79" s="7" t="s">
        <v>77</v>
      </c>
      <c r="R79" s="7">
        <v>99999</v>
      </c>
      <c r="S79" s="7" t="s">
        <v>30</v>
      </c>
      <c r="T79" s="7" t="s">
        <v>79</v>
      </c>
      <c r="U79" s="7" t="s">
        <v>80</v>
      </c>
      <c r="V79" s="7" t="s">
        <v>81</v>
      </c>
      <c r="W79" s="7">
        <v>9.65</v>
      </c>
      <c r="X79" s="7">
        <v>95</v>
      </c>
      <c r="Y79" s="10">
        <v>916.75</v>
      </c>
      <c r="Z79" s="9">
        <v>91.675000000000011</v>
      </c>
    </row>
    <row r="80" spans="1:26" x14ac:dyDescent="0.35">
      <c r="A80" s="7">
        <v>1088</v>
      </c>
      <c r="B80" s="8">
        <v>41735</v>
      </c>
      <c r="C80" s="7">
        <v>6</v>
      </c>
      <c r="D80" s="7" t="s">
        <v>82</v>
      </c>
      <c r="E80" s="7" t="s">
        <v>83</v>
      </c>
      <c r="F80" s="7" t="s">
        <v>84</v>
      </c>
      <c r="G80" s="7" t="s">
        <v>85</v>
      </c>
      <c r="H80" s="7">
        <v>99999</v>
      </c>
      <c r="I80" s="7" t="s">
        <v>30</v>
      </c>
      <c r="J80" s="7" t="s">
        <v>86</v>
      </c>
      <c r="K80" s="7" t="s">
        <v>61</v>
      </c>
      <c r="L80" s="7">
        <v>41737</v>
      </c>
      <c r="M80" s="7" t="s">
        <v>33</v>
      </c>
      <c r="N80" s="7" t="s">
        <v>87</v>
      </c>
      <c r="O80" s="7" t="s">
        <v>83</v>
      </c>
      <c r="P80" s="7" t="s">
        <v>84</v>
      </c>
      <c r="Q80" s="7" t="s">
        <v>85</v>
      </c>
      <c r="R80" s="7">
        <v>99999</v>
      </c>
      <c r="S80" s="7" t="s">
        <v>30</v>
      </c>
      <c r="T80" s="7" t="s">
        <v>48</v>
      </c>
      <c r="U80" s="7" t="s">
        <v>88</v>
      </c>
      <c r="V80" s="7" t="s">
        <v>89</v>
      </c>
      <c r="W80" s="7">
        <v>40</v>
      </c>
      <c r="X80" s="7">
        <v>17</v>
      </c>
      <c r="Y80" s="10">
        <v>680</v>
      </c>
      <c r="Z80" s="9">
        <v>68.680000000000007</v>
      </c>
    </row>
    <row r="81" spans="1:26" x14ac:dyDescent="0.35">
      <c r="A81" s="7">
        <v>1089</v>
      </c>
      <c r="B81" s="8">
        <v>41757</v>
      </c>
      <c r="C81" s="7">
        <v>28</v>
      </c>
      <c r="D81" s="7" t="s">
        <v>90</v>
      </c>
      <c r="E81" s="7" t="s">
        <v>91</v>
      </c>
      <c r="F81" s="7" t="s">
        <v>92</v>
      </c>
      <c r="G81" s="7" t="s">
        <v>93</v>
      </c>
      <c r="H81" s="7">
        <v>99999</v>
      </c>
      <c r="I81" s="7" t="s">
        <v>30</v>
      </c>
      <c r="J81" s="7" t="s">
        <v>94</v>
      </c>
      <c r="K81" s="7" t="s">
        <v>95</v>
      </c>
      <c r="L81" s="8">
        <v>41759</v>
      </c>
      <c r="M81" s="7" t="s">
        <v>62</v>
      </c>
      <c r="N81" s="7" t="s">
        <v>96</v>
      </c>
      <c r="O81" s="7" t="s">
        <v>91</v>
      </c>
      <c r="P81" s="7" t="s">
        <v>92</v>
      </c>
      <c r="Q81" s="7" t="s">
        <v>93</v>
      </c>
      <c r="R81" s="7">
        <v>99999</v>
      </c>
      <c r="S81" s="7" t="s">
        <v>30</v>
      </c>
      <c r="T81" s="7" t="s">
        <v>35</v>
      </c>
      <c r="U81" s="7" t="s">
        <v>55</v>
      </c>
      <c r="V81" s="7" t="s">
        <v>37</v>
      </c>
      <c r="W81" s="7">
        <v>46</v>
      </c>
      <c r="X81" s="7">
        <v>96</v>
      </c>
      <c r="Y81" s="10">
        <v>4416</v>
      </c>
      <c r="Z81" s="9">
        <v>463.68000000000006</v>
      </c>
    </row>
    <row r="82" spans="1:26" x14ac:dyDescent="0.35">
      <c r="A82" s="7">
        <v>1090</v>
      </c>
      <c r="B82" s="8">
        <v>41737</v>
      </c>
      <c r="C82" s="7">
        <v>8</v>
      </c>
      <c r="D82" s="7" t="s">
        <v>56</v>
      </c>
      <c r="E82" s="7" t="s">
        <v>57</v>
      </c>
      <c r="F82" s="7" t="s">
        <v>58</v>
      </c>
      <c r="G82" s="7" t="s">
        <v>59</v>
      </c>
      <c r="H82" s="7">
        <v>99999</v>
      </c>
      <c r="I82" s="7" t="s">
        <v>30</v>
      </c>
      <c r="J82" s="7" t="s">
        <v>60</v>
      </c>
      <c r="K82" s="7" t="s">
        <v>61</v>
      </c>
      <c r="L82" s="8">
        <v>41739</v>
      </c>
      <c r="M82" s="7" t="s">
        <v>62</v>
      </c>
      <c r="N82" s="7" t="s">
        <v>63</v>
      </c>
      <c r="O82" s="7" t="s">
        <v>57</v>
      </c>
      <c r="P82" s="7" t="s">
        <v>58</v>
      </c>
      <c r="Q82" s="7" t="s">
        <v>59</v>
      </c>
      <c r="R82" s="7">
        <v>99999</v>
      </c>
      <c r="S82" s="7" t="s">
        <v>30</v>
      </c>
      <c r="T82" s="7" t="s">
        <v>35</v>
      </c>
      <c r="U82" s="7" t="s">
        <v>72</v>
      </c>
      <c r="V82" s="7" t="s">
        <v>73</v>
      </c>
      <c r="W82" s="9">
        <v>12.75</v>
      </c>
      <c r="X82" s="7">
        <v>83</v>
      </c>
      <c r="Y82" s="10">
        <v>1058.25</v>
      </c>
      <c r="Z82" s="9">
        <v>102.65025</v>
      </c>
    </row>
    <row r="83" spans="1:26" x14ac:dyDescent="0.35">
      <c r="A83" s="7">
        <v>1091</v>
      </c>
      <c r="B83" s="8">
        <v>41739</v>
      </c>
      <c r="C83" s="7">
        <v>10</v>
      </c>
      <c r="D83" s="7" t="s">
        <v>97</v>
      </c>
      <c r="E83" s="7" t="s">
        <v>98</v>
      </c>
      <c r="F83" s="7" t="s">
        <v>99</v>
      </c>
      <c r="G83" s="7" t="s">
        <v>100</v>
      </c>
      <c r="H83" s="7">
        <v>99999</v>
      </c>
      <c r="I83" s="7" t="s">
        <v>30</v>
      </c>
      <c r="J83" s="7" t="s">
        <v>101</v>
      </c>
      <c r="K83" s="7" t="s">
        <v>45</v>
      </c>
      <c r="L83" s="8">
        <v>41741</v>
      </c>
      <c r="M83" s="7" t="s">
        <v>33</v>
      </c>
      <c r="N83" s="7" t="s">
        <v>102</v>
      </c>
      <c r="O83" s="7" t="s">
        <v>98</v>
      </c>
      <c r="P83" s="7" t="s">
        <v>99</v>
      </c>
      <c r="Q83" s="7" t="s">
        <v>100</v>
      </c>
      <c r="R83" s="7">
        <v>99999</v>
      </c>
      <c r="S83" s="7" t="s">
        <v>30</v>
      </c>
      <c r="T83" s="7" t="s">
        <v>48</v>
      </c>
      <c r="U83" s="7" t="s">
        <v>103</v>
      </c>
      <c r="V83" s="7" t="s">
        <v>37</v>
      </c>
      <c r="W83" s="9">
        <v>2.99</v>
      </c>
      <c r="X83" s="7">
        <v>88</v>
      </c>
      <c r="Y83" s="10">
        <v>263.12</v>
      </c>
      <c r="Z83" s="9">
        <v>26.04888</v>
      </c>
    </row>
    <row r="84" spans="1:26" x14ac:dyDescent="0.35">
      <c r="A84" s="7">
        <v>1092</v>
      </c>
      <c r="B84" s="8">
        <v>41736</v>
      </c>
      <c r="C84" s="7">
        <v>7</v>
      </c>
      <c r="D84" s="7" t="s">
        <v>104</v>
      </c>
      <c r="E84" s="7" t="s">
        <v>105</v>
      </c>
      <c r="F84" s="7" t="s">
        <v>106</v>
      </c>
      <c r="G84" s="7" t="s">
        <v>107</v>
      </c>
      <c r="H84" s="7">
        <v>99999</v>
      </c>
      <c r="I84" s="7" t="s">
        <v>30</v>
      </c>
      <c r="J84" s="7" t="s">
        <v>60</v>
      </c>
      <c r="K84" s="7" t="s">
        <v>61</v>
      </c>
      <c r="L84" s="8"/>
      <c r="N84" s="7" t="s">
        <v>108</v>
      </c>
      <c r="O84" s="7" t="s">
        <v>105</v>
      </c>
      <c r="P84" s="7" t="s">
        <v>106</v>
      </c>
      <c r="Q84" s="7" t="s">
        <v>107</v>
      </c>
      <c r="R84" s="7">
        <v>99999</v>
      </c>
      <c r="S84" s="7" t="s">
        <v>30</v>
      </c>
      <c r="U84" s="7" t="s">
        <v>55</v>
      </c>
      <c r="V84" s="7" t="s">
        <v>37</v>
      </c>
      <c r="W84" s="9">
        <v>46</v>
      </c>
      <c r="X84" s="7">
        <v>59</v>
      </c>
      <c r="Y84" s="10">
        <v>2714</v>
      </c>
      <c r="Z84" s="9">
        <v>284.97000000000003</v>
      </c>
    </row>
    <row r="85" spans="1:26" x14ac:dyDescent="0.35">
      <c r="A85" s="7">
        <v>1093</v>
      </c>
      <c r="B85" s="8">
        <v>41739</v>
      </c>
      <c r="C85" s="7">
        <v>10</v>
      </c>
      <c r="D85" s="7" t="s">
        <v>97</v>
      </c>
      <c r="E85" s="7" t="s">
        <v>98</v>
      </c>
      <c r="F85" s="7" t="s">
        <v>99</v>
      </c>
      <c r="G85" s="7" t="s">
        <v>100</v>
      </c>
      <c r="H85" s="7">
        <v>99999</v>
      </c>
      <c r="I85" s="7" t="s">
        <v>30</v>
      </c>
      <c r="J85" s="7" t="s">
        <v>101</v>
      </c>
      <c r="K85" s="7" t="s">
        <v>45</v>
      </c>
      <c r="L85" s="8">
        <v>41741</v>
      </c>
      <c r="M85" s="7" t="s">
        <v>46</v>
      </c>
      <c r="N85" s="7" t="s">
        <v>102</v>
      </c>
      <c r="O85" s="7" t="s">
        <v>98</v>
      </c>
      <c r="P85" s="7" t="s">
        <v>99</v>
      </c>
      <c r="Q85" s="7" t="s">
        <v>100</v>
      </c>
      <c r="R85" s="7">
        <v>99999</v>
      </c>
      <c r="S85" s="7" t="s">
        <v>30</v>
      </c>
      <c r="U85" s="7" t="s">
        <v>109</v>
      </c>
      <c r="V85" s="7" t="s">
        <v>110</v>
      </c>
      <c r="W85" s="9">
        <v>25</v>
      </c>
      <c r="X85" s="7">
        <v>27</v>
      </c>
      <c r="Y85" s="10">
        <v>675</v>
      </c>
      <c r="Z85" s="9">
        <v>68.849999999999994</v>
      </c>
    </row>
    <row r="86" spans="1:26" x14ac:dyDescent="0.35">
      <c r="A86" s="7">
        <v>1094</v>
      </c>
      <c r="B86" s="8">
        <v>41739</v>
      </c>
      <c r="C86" s="7">
        <v>10</v>
      </c>
      <c r="D86" s="7" t="s">
        <v>97</v>
      </c>
      <c r="E86" s="7" t="s">
        <v>98</v>
      </c>
      <c r="F86" s="7" t="s">
        <v>99</v>
      </c>
      <c r="G86" s="7" t="s">
        <v>100</v>
      </c>
      <c r="H86" s="7">
        <v>99999</v>
      </c>
      <c r="I86" s="7" t="s">
        <v>30</v>
      </c>
      <c r="J86" s="7" t="s">
        <v>101</v>
      </c>
      <c r="K86" s="7" t="s">
        <v>45</v>
      </c>
      <c r="L86" s="8">
        <v>41741</v>
      </c>
      <c r="M86" s="7" t="s">
        <v>46</v>
      </c>
      <c r="N86" s="7" t="s">
        <v>102</v>
      </c>
      <c r="O86" s="7" t="s">
        <v>98</v>
      </c>
      <c r="P86" s="7" t="s">
        <v>99</v>
      </c>
      <c r="Q86" s="7" t="s">
        <v>100</v>
      </c>
      <c r="R86" s="7">
        <v>99999</v>
      </c>
      <c r="S86" s="7" t="s">
        <v>30</v>
      </c>
      <c r="U86" s="7" t="s">
        <v>111</v>
      </c>
      <c r="V86" s="7" t="s">
        <v>112</v>
      </c>
      <c r="W86" s="9">
        <v>22</v>
      </c>
      <c r="X86" s="7">
        <v>37</v>
      </c>
      <c r="Y86" s="10">
        <v>814</v>
      </c>
      <c r="Z86" s="9">
        <v>85.470000000000013</v>
      </c>
    </row>
    <row r="87" spans="1:26" x14ac:dyDescent="0.35">
      <c r="A87" s="7">
        <v>1095</v>
      </c>
      <c r="B87" s="8">
        <v>41739</v>
      </c>
      <c r="C87" s="7">
        <v>10</v>
      </c>
      <c r="D87" s="7" t="s">
        <v>97</v>
      </c>
      <c r="E87" s="7" t="s">
        <v>98</v>
      </c>
      <c r="F87" s="7" t="s">
        <v>99</v>
      </c>
      <c r="G87" s="7" t="s">
        <v>100</v>
      </c>
      <c r="H87" s="7">
        <v>99999</v>
      </c>
      <c r="I87" s="7" t="s">
        <v>30</v>
      </c>
      <c r="J87" s="7" t="s">
        <v>101</v>
      </c>
      <c r="K87" s="7" t="s">
        <v>45</v>
      </c>
      <c r="L87" s="8">
        <v>41741</v>
      </c>
      <c r="M87" s="7" t="s">
        <v>46</v>
      </c>
      <c r="N87" s="7" t="s">
        <v>102</v>
      </c>
      <c r="O87" s="7" t="s">
        <v>98</v>
      </c>
      <c r="P87" s="7" t="s">
        <v>99</v>
      </c>
      <c r="Q87" s="7" t="s">
        <v>100</v>
      </c>
      <c r="R87" s="7">
        <v>99999</v>
      </c>
      <c r="S87" s="7" t="s">
        <v>30</v>
      </c>
      <c r="U87" s="7" t="s">
        <v>64</v>
      </c>
      <c r="V87" s="7" t="s">
        <v>65</v>
      </c>
      <c r="W87" s="9">
        <v>9.1999999999999993</v>
      </c>
      <c r="X87" s="7">
        <v>75</v>
      </c>
      <c r="Y87" s="10">
        <v>690</v>
      </c>
      <c r="Z87" s="9">
        <v>69</v>
      </c>
    </row>
    <row r="88" spans="1:26" x14ac:dyDescent="0.35">
      <c r="A88" s="7">
        <v>1096</v>
      </c>
      <c r="B88" s="8">
        <v>41740</v>
      </c>
      <c r="C88" s="7">
        <v>11</v>
      </c>
      <c r="D88" s="7" t="s">
        <v>113</v>
      </c>
      <c r="E88" s="7" t="s">
        <v>114</v>
      </c>
      <c r="F88" s="7" t="s">
        <v>115</v>
      </c>
      <c r="G88" s="7" t="s">
        <v>116</v>
      </c>
      <c r="H88" s="7">
        <v>99999</v>
      </c>
      <c r="I88" s="7" t="s">
        <v>30</v>
      </c>
      <c r="J88" s="7" t="s">
        <v>94</v>
      </c>
      <c r="K88" s="7" t="s">
        <v>95</v>
      </c>
      <c r="L88" s="8"/>
      <c r="M88" s="7" t="s">
        <v>62</v>
      </c>
      <c r="N88" s="7" t="s">
        <v>117</v>
      </c>
      <c r="O88" s="7" t="s">
        <v>114</v>
      </c>
      <c r="P88" s="7" t="s">
        <v>115</v>
      </c>
      <c r="Q88" s="7" t="s">
        <v>116</v>
      </c>
      <c r="R88" s="7">
        <v>99999</v>
      </c>
      <c r="S88" s="7" t="s">
        <v>30</v>
      </c>
      <c r="U88" s="7" t="s">
        <v>38</v>
      </c>
      <c r="V88" s="7" t="s">
        <v>39</v>
      </c>
      <c r="W88" s="9">
        <v>3.5</v>
      </c>
      <c r="X88" s="7">
        <v>71</v>
      </c>
      <c r="Y88" s="10">
        <v>248.5</v>
      </c>
      <c r="Z88" s="9">
        <v>24.104500000000002</v>
      </c>
    </row>
    <row r="89" spans="1:26" x14ac:dyDescent="0.35">
      <c r="A89" s="7">
        <v>1097</v>
      </c>
      <c r="B89" s="8">
        <v>41740</v>
      </c>
      <c r="C89" s="7">
        <v>11</v>
      </c>
      <c r="D89" s="7" t="s">
        <v>113</v>
      </c>
      <c r="E89" s="7" t="s">
        <v>114</v>
      </c>
      <c r="F89" s="7" t="s">
        <v>115</v>
      </c>
      <c r="G89" s="7" t="s">
        <v>116</v>
      </c>
      <c r="H89" s="7">
        <v>99999</v>
      </c>
      <c r="I89" s="7" t="s">
        <v>30</v>
      </c>
      <c r="J89" s="7" t="s">
        <v>94</v>
      </c>
      <c r="K89" s="7" t="s">
        <v>95</v>
      </c>
      <c r="L89" s="8"/>
      <c r="M89" s="7" t="s">
        <v>62</v>
      </c>
      <c r="N89" s="7" t="s">
        <v>117</v>
      </c>
      <c r="O89" s="7" t="s">
        <v>114</v>
      </c>
      <c r="P89" s="7" t="s">
        <v>115</v>
      </c>
      <c r="Q89" s="7" t="s">
        <v>116</v>
      </c>
      <c r="R89" s="7">
        <v>99999</v>
      </c>
      <c r="S89" s="7" t="s">
        <v>30</v>
      </c>
      <c r="U89" s="7" t="s">
        <v>103</v>
      </c>
      <c r="V89" s="7" t="s">
        <v>37</v>
      </c>
      <c r="W89" s="9">
        <v>2.99</v>
      </c>
      <c r="X89" s="7">
        <v>88</v>
      </c>
      <c r="Y89" s="10">
        <v>263.12</v>
      </c>
      <c r="Z89" s="9">
        <v>26.04888</v>
      </c>
    </row>
    <row r="90" spans="1:26" x14ac:dyDescent="0.35">
      <c r="A90" s="7">
        <v>1098</v>
      </c>
      <c r="B90" s="8">
        <v>41730</v>
      </c>
      <c r="C90" s="7">
        <v>1</v>
      </c>
      <c r="D90" s="7" t="s">
        <v>118</v>
      </c>
      <c r="E90" s="7" t="s">
        <v>119</v>
      </c>
      <c r="F90" s="7" t="s">
        <v>120</v>
      </c>
      <c r="G90" s="7" t="s">
        <v>121</v>
      </c>
      <c r="H90" s="7">
        <v>99999</v>
      </c>
      <c r="I90" s="7" t="s">
        <v>30</v>
      </c>
      <c r="J90" s="7" t="s">
        <v>60</v>
      </c>
      <c r="K90" s="7" t="s">
        <v>61</v>
      </c>
      <c r="L90" s="8"/>
      <c r="N90" s="7" t="s">
        <v>122</v>
      </c>
      <c r="O90" s="7" t="s">
        <v>119</v>
      </c>
      <c r="P90" s="7" t="s">
        <v>120</v>
      </c>
      <c r="Q90" s="7" t="s">
        <v>121</v>
      </c>
      <c r="R90" s="7">
        <v>99999</v>
      </c>
      <c r="S90" s="7" t="s">
        <v>30</v>
      </c>
      <c r="U90" s="7" t="s">
        <v>54</v>
      </c>
      <c r="V90" s="7" t="s">
        <v>37</v>
      </c>
      <c r="W90" s="9">
        <v>18</v>
      </c>
      <c r="X90" s="7">
        <v>55</v>
      </c>
      <c r="Y90" s="10">
        <v>990</v>
      </c>
      <c r="Z90" s="9">
        <v>97.02</v>
      </c>
    </row>
    <row r="91" spans="1:26" x14ac:dyDescent="0.35">
      <c r="A91" s="7">
        <v>1099</v>
      </c>
      <c r="B91" s="8">
        <v>41788</v>
      </c>
      <c r="C91" s="7">
        <v>29</v>
      </c>
      <c r="D91" s="7" t="s">
        <v>66</v>
      </c>
      <c r="E91" s="7" t="s">
        <v>67</v>
      </c>
      <c r="F91" s="7" t="s">
        <v>68</v>
      </c>
      <c r="G91" s="7" t="s">
        <v>69</v>
      </c>
      <c r="H91" s="7">
        <v>99999</v>
      </c>
      <c r="I91" s="7" t="s">
        <v>30</v>
      </c>
      <c r="J91" s="7" t="s">
        <v>70</v>
      </c>
      <c r="K91" s="7" t="s">
        <v>32</v>
      </c>
      <c r="L91" s="8">
        <v>41790</v>
      </c>
      <c r="M91" s="7" t="s">
        <v>33</v>
      </c>
      <c r="N91" s="7" t="s">
        <v>71</v>
      </c>
      <c r="O91" s="7" t="s">
        <v>67</v>
      </c>
      <c r="P91" s="7" t="s">
        <v>68</v>
      </c>
      <c r="Q91" s="7" t="s">
        <v>69</v>
      </c>
      <c r="R91" s="7">
        <v>99999</v>
      </c>
      <c r="S91" s="7" t="s">
        <v>30</v>
      </c>
      <c r="T91" s="7" t="s">
        <v>35</v>
      </c>
      <c r="U91" s="7" t="s">
        <v>72</v>
      </c>
      <c r="V91" s="7" t="s">
        <v>73</v>
      </c>
      <c r="W91" s="9">
        <v>12.75</v>
      </c>
      <c r="X91" s="7">
        <v>14</v>
      </c>
      <c r="Y91" s="10">
        <v>178.5</v>
      </c>
      <c r="Z91" s="9">
        <v>16.9575</v>
      </c>
    </row>
    <row r="92" spans="1:26" x14ac:dyDescent="0.35">
      <c r="A92" s="7">
        <v>1100</v>
      </c>
      <c r="B92" s="8">
        <v>41762</v>
      </c>
      <c r="C92" s="7">
        <v>3</v>
      </c>
      <c r="D92" s="7" t="s">
        <v>74</v>
      </c>
      <c r="E92" s="7" t="s">
        <v>75</v>
      </c>
      <c r="F92" s="7" t="s">
        <v>76</v>
      </c>
      <c r="G92" s="7" t="s">
        <v>77</v>
      </c>
      <c r="H92" s="7">
        <v>99999</v>
      </c>
      <c r="I92" s="7" t="s">
        <v>30</v>
      </c>
      <c r="J92" s="7" t="s">
        <v>31</v>
      </c>
      <c r="K92" s="7" t="s">
        <v>32</v>
      </c>
      <c r="L92" s="8">
        <v>41764</v>
      </c>
      <c r="M92" s="7" t="s">
        <v>33</v>
      </c>
      <c r="N92" s="7" t="s">
        <v>78</v>
      </c>
      <c r="O92" s="7" t="s">
        <v>75</v>
      </c>
      <c r="P92" s="7" t="s">
        <v>76</v>
      </c>
      <c r="Q92" s="7" t="s">
        <v>77</v>
      </c>
      <c r="R92" s="7">
        <v>99999</v>
      </c>
      <c r="S92" s="7" t="s">
        <v>30</v>
      </c>
      <c r="T92" s="7" t="s">
        <v>79</v>
      </c>
      <c r="U92" s="7" t="s">
        <v>80</v>
      </c>
      <c r="V92" s="7" t="s">
        <v>81</v>
      </c>
      <c r="W92" s="9">
        <v>9.65</v>
      </c>
      <c r="X92" s="7">
        <v>43</v>
      </c>
      <c r="Y92" s="10">
        <v>414.95</v>
      </c>
      <c r="Z92" s="9">
        <v>42.324900000000007</v>
      </c>
    </row>
    <row r="93" spans="1:26" x14ac:dyDescent="0.35">
      <c r="A93" s="7">
        <v>1101</v>
      </c>
      <c r="B93" s="8">
        <v>41765</v>
      </c>
      <c r="C93" s="7">
        <v>6</v>
      </c>
      <c r="D93" s="7" t="s">
        <v>82</v>
      </c>
      <c r="E93" s="7" t="s">
        <v>83</v>
      </c>
      <c r="F93" s="7" t="s">
        <v>84</v>
      </c>
      <c r="G93" s="7" t="s">
        <v>85</v>
      </c>
      <c r="H93" s="7">
        <v>99999</v>
      </c>
      <c r="I93" s="7" t="s">
        <v>30</v>
      </c>
      <c r="J93" s="7" t="s">
        <v>86</v>
      </c>
      <c r="K93" s="7" t="s">
        <v>61</v>
      </c>
      <c r="L93" s="7">
        <v>41767</v>
      </c>
      <c r="M93" s="7" t="s">
        <v>33</v>
      </c>
      <c r="N93" s="7" t="s">
        <v>87</v>
      </c>
      <c r="O93" s="7" t="s">
        <v>83</v>
      </c>
      <c r="P93" s="7" t="s">
        <v>84</v>
      </c>
      <c r="Q93" s="7" t="s">
        <v>85</v>
      </c>
      <c r="R93" s="7">
        <v>99999</v>
      </c>
      <c r="S93" s="7" t="s">
        <v>30</v>
      </c>
      <c r="T93" s="7" t="s">
        <v>48</v>
      </c>
      <c r="U93" s="7" t="s">
        <v>88</v>
      </c>
      <c r="V93" s="7" t="s">
        <v>89</v>
      </c>
      <c r="W93" s="9">
        <v>40</v>
      </c>
      <c r="X93" s="7">
        <v>63</v>
      </c>
      <c r="Y93" s="10">
        <v>2520</v>
      </c>
      <c r="Z93" s="9">
        <v>254.52</v>
      </c>
    </row>
    <row r="94" spans="1:26" x14ac:dyDescent="0.35">
      <c r="A94" s="7">
        <v>1102</v>
      </c>
      <c r="B94" s="8">
        <v>41787</v>
      </c>
      <c r="C94" s="7">
        <v>28</v>
      </c>
      <c r="D94" s="7" t="s">
        <v>90</v>
      </c>
      <c r="E94" s="7" t="s">
        <v>91</v>
      </c>
      <c r="F94" s="7" t="s">
        <v>92</v>
      </c>
      <c r="G94" s="7" t="s">
        <v>93</v>
      </c>
      <c r="H94" s="7">
        <v>99999</v>
      </c>
      <c r="I94" s="7" t="s">
        <v>30</v>
      </c>
      <c r="J94" s="7" t="s">
        <v>94</v>
      </c>
      <c r="K94" s="7" t="s">
        <v>95</v>
      </c>
      <c r="L94" s="8">
        <v>41789</v>
      </c>
      <c r="M94" s="7" t="s">
        <v>62</v>
      </c>
      <c r="N94" s="7" t="s">
        <v>96</v>
      </c>
      <c r="O94" s="7" t="s">
        <v>91</v>
      </c>
      <c r="P94" s="7" t="s">
        <v>92</v>
      </c>
      <c r="Q94" s="7" t="s">
        <v>93</v>
      </c>
      <c r="R94" s="7">
        <v>99999</v>
      </c>
      <c r="S94" s="7" t="s">
        <v>30</v>
      </c>
      <c r="T94" s="7" t="s">
        <v>35</v>
      </c>
      <c r="U94" s="7" t="s">
        <v>55</v>
      </c>
      <c r="V94" s="7" t="s">
        <v>37</v>
      </c>
      <c r="W94" s="9">
        <v>46</v>
      </c>
      <c r="X94" s="7">
        <v>36</v>
      </c>
      <c r="Y94" s="10">
        <v>1656</v>
      </c>
      <c r="Z94" s="9">
        <v>165.60000000000002</v>
      </c>
    </row>
    <row r="95" spans="1:26" x14ac:dyDescent="0.35">
      <c r="A95" s="7">
        <v>1103</v>
      </c>
      <c r="B95" s="8">
        <v>41767</v>
      </c>
      <c r="C95" s="7">
        <v>8</v>
      </c>
      <c r="D95" s="7" t="s">
        <v>56</v>
      </c>
      <c r="E95" s="7" t="s">
        <v>57</v>
      </c>
      <c r="F95" s="7" t="s">
        <v>58</v>
      </c>
      <c r="G95" s="7" t="s">
        <v>59</v>
      </c>
      <c r="H95" s="7">
        <v>99999</v>
      </c>
      <c r="I95" s="7" t="s">
        <v>30</v>
      </c>
      <c r="J95" s="7" t="s">
        <v>60</v>
      </c>
      <c r="K95" s="7" t="s">
        <v>61</v>
      </c>
      <c r="L95" s="8">
        <v>41769</v>
      </c>
      <c r="M95" s="7" t="s">
        <v>62</v>
      </c>
      <c r="N95" s="7" t="s">
        <v>63</v>
      </c>
      <c r="O95" s="7" t="s">
        <v>57</v>
      </c>
      <c r="P95" s="7" t="s">
        <v>58</v>
      </c>
      <c r="Q95" s="7" t="s">
        <v>59</v>
      </c>
      <c r="R95" s="7">
        <v>99999</v>
      </c>
      <c r="S95" s="7" t="s">
        <v>30</v>
      </c>
      <c r="T95" s="7" t="s">
        <v>35</v>
      </c>
      <c r="U95" s="7" t="s">
        <v>72</v>
      </c>
      <c r="V95" s="7" t="s">
        <v>73</v>
      </c>
      <c r="W95" s="9">
        <v>12.75</v>
      </c>
      <c r="X95" s="7">
        <v>41</v>
      </c>
      <c r="Y95" s="10">
        <v>522.75</v>
      </c>
      <c r="Z95" s="9">
        <v>54.366000000000007</v>
      </c>
    </row>
    <row r="96" spans="1:26" x14ac:dyDescent="0.35">
      <c r="A96" s="7">
        <v>1104</v>
      </c>
      <c r="B96" s="8">
        <v>41769</v>
      </c>
      <c r="C96" s="7">
        <v>10</v>
      </c>
      <c r="D96" s="7" t="s">
        <v>97</v>
      </c>
      <c r="E96" s="7" t="s">
        <v>98</v>
      </c>
      <c r="F96" s="7" t="s">
        <v>99</v>
      </c>
      <c r="G96" s="7" t="s">
        <v>100</v>
      </c>
      <c r="H96" s="7">
        <v>99999</v>
      </c>
      <c r="I96" s="7" t="s">
        <v>30</v>
      </c>
      <c r="J96" s="7" t="s">
        <v>101</v>
      </c>
      <c r="K96" s="7" t="s">
        <v>45</v>
      </c>
      <c r="L96" s="8">
        <v>41771</v>
      </c>
      <c r="M96" s="7" t="s">
        <v>33</v>
      </c>
      <c r="N96" s="7" t="s">
        <v>102</v>
      </c>
      <c r="O96" s="7" t="s">
        <v>98</v>
      </c>
      <c r="P96" s="7" t="s">
        <v>99</v>
      </c>
      <c r="Q96" s="7" t="s">
        <v>100</v>
      </c>
      <c r="R96" s="7">
        <v>99999</v>
      </c>
      <c r="S96" s="7" t="s">
        <v>30</v>
      </c>
      <c r="T96" s="7" t="s">
        <v>48</v>
      </c>
      <c r="U96" s="7" t="s">
        <v>103</v>
      </c>
      <c r="V96" s="7" t="s">
        <v>37</v>
      </c>
      <c r="W96" s="9">
        <v>2.99</v>
      </c>
      <c r="X96" s="7">
        <v>35</v>
      </c>
      <c r="Y96" s="10">
        <v>104.65</v>
      </c>
      <c r="Z96" s="9">
        <v>10.255700000000001</v>
      </c>
    </row>
    <row r="97" spans="1:26" x14ac:dyDescent="0.35">
      <c r="A97" s="7">
        <v>1105</v>
      </c>
      <c r="B97" s="8">
        <v>41766</v>
      </c>
      <c r="C97" s="7">
        <v>7</v>
      </c>
      <c r="D97" s="7" t="s">
        <v>104</v>
      </c>
      <c r="E97" s="7" t="s">
        <v>105</v>
      </c>
      <c r="F97" s="7" t="s">
        <v>106</v>
      </c>
      <c r="G97" s="7" t="s">
        <v>107</v>
      </c>
      <c r="H97" s="7">
        <v>99999</v>
      </c>
      <c r="I97" s="7" t="s">
        <v>30</v>
      </c>
      <c r="J97" s="7" t="s">
        <v>60</v>
      </c>
      <c r="K97" s="7" t="s">
        <v>61</v>
      </c>
      <c r="N97" s="7" t="s">
        <v>108</v>
      </c>
      <c r="O97" s="7" t="s">
        <v>105</v>
      </c>
      <c r="P97" s="7" t="s">
        <v>106</v>
      </c>
      <c r="Q97" s="7" t="s">
        <v>107</v>
      </c>
      <c r="R97" s="7">
        <v>99999</v>
      </c>
      <c r="S97" s="7" t="s">
        <v>30</v>
      </c>
      <c r="U97" s="7" t="s">
        <v>55</v>
      </c>
      <c r="V97" s="7" t="s">
        <v>37</v>
      </c>
      <c r="W97" s="9">
        <v>46</v>
      </c>
      <c r="X97" s="7">
        <v>31</v>
      </c>
      <c r="Y97" s="10">
        <v>1426</v>
      </c>
      <c r="Z97" s="9">
        <v>136.89599999999999</v>
      </c>
    </row>
    <row r="98" spans="1:26" x14ac:dyDescent="0.35">
      <c r="A98" s="7">
        <v>1106</v>
      </c>
      <c r="B98" s="8">
        <v>41769</v>
      </c>
      <c r="C98" s="7">
        <v>10</v>
      </c>
      <c r="D98" s="7" t="s">
        <v>97</v>
      </c>
      <c r="E98" s="7" t="s">
        <v>98</v>
      </c>
      <c r="F98" s="7" t="s">
        <v>99</v>
      </c>
      <c r="G98" s="7" t="s">
        <v>100</v>
      </c>
      <c r="H98" s="7">
        <v>99999</v>
      </c>
      <c r="I98" s="7" t="s">
        <v>30</v>
      </c>
      <c r="J98" s="7" t="s">
        <v>101</v>
      </c>
      <c r="K98" s="7" t="s">
        <v>45</v>
      </c>
      <c r="L98" s="7">
        <v>41771</v>
      </c>
      <c r="M98" s="7" t="s">
        <v>46</v>
      </c>
      <c r="N98" s="7" t="s">
        <v>102</v>
      </c>
      <c r="O98" s="7" t="s">
        <v>98</v>
      </c>
      <c r="P98" s="7" t="s">
        <v>99</v>
      </c>
      <c r="Q98" s="7" t="s">
        <v>100</v>
      </c>
      <c r="R98" s="7">
        <v>99999</v>
      </c>
      <c r="S98" s="7" t="s">
        <v>30</v>
      </c>
      <c r="U98" s="7" t="s">
        <v>109</v>
      </c>
      <c r="V98" s="7" t="s">
        <v>110</v>
      </c>
      <c r="W98" s="9">
        <v>25</v>
      </c>
      <c r="X98" s="7">
        <v>52</v>
      </c>
      <c r="Y98" s="10">
        <v>1300</v>
      </c>
      <c r="Z98" s="9">
        <v>123.5</v>
      </c>
    </row>
    <row r="99" spans="1:26" x14ac:dyDescent="0.35">
      <c r="A99" s="7">
        <v>1107</v>
      </c>
      <c r="B99" s="8">
        <v>41769</v>
      </c>
      <c r="C99" s="7">
        <v>10</v>
      </c>
      <c r="D99" s="7" t="s">
        <v>97</v>
      </c>
      <c r="E99" s="7" t="s">
        <v>98</v>
      </c>
      <c r="F99" s="7" t="s">
        <v>99</v>
      </c>
      <c r="G99" s="7" t="s">
        <v>100</v>
      </c>
      <c r="H99" s="7">
        <v>99999</v>
      </c>
      <c r="I99" s="7" t="s">
        <v>30</v>
      </c>
      <c r="J99" s="7" t="s">
        <v>101</v>
      </c>
      <c r="K99" s="7" t="s">
        <v>45</v>
      </c>
      <c r="L99" s="7">
        <v>41771</v>
      </c>
      <c r="M99" s="7" t="s">
        <v>46</v>
      </c>
      <c r="N99" s="7" t="s">
        <v>102</v>
      </c>
      <c r="O99" s="7" t="s">
        <v>98</v>
      </c>
      <c r="P99" s="7" t="s">
        <v>99</v>
      </c>
      <c r="Q99" s="7" t="s">
        <v>100</v>
      </c>
      <c r="R99" s="7">
        <v>99999</v>
      </c>
      <c r="S99" s="7" t="s">
        <v>30</v>
      </c>
      <c r="U99" s="7" t="s">
        <v>111</v>
      </c>
      <c r="V99" s="7" t="s">
        <v>112</v>
      </c>
      <c r="W99" s="9">
        <v>22</v>
      </c>
      <c r="X99" s="7">
        <v>30</v>
      </c>
      <c r="Y99" s="10">
        <v>660</v>
      </c>
      <c r="Z99" s="9">
        <v>67.320000000000007</v>
      </c>
    </row>
    <row r="100" spans="1:26" x14ac:dyDescent="0.35">
      <c r="A100" s="7">
        <v>1108</v>
      </c>
      <c r="B100" s="8">
        <v>41769</v>
      </c>
      <c r="C100" s="7">
        <v>10</v>
      </c>
      <c r="D100" s="7" t="s">
        <v>97</v>
      </c>
      <c r="E100" s="7" t="s">
        <v>98</v>
      </c>
      <c r="F100" s="7" t="s">
        <v>99</v>
      </c>
      <c r="G100" s="7" t="s">
        <v>100</v>
      </c>
      <c r="H100" s="7">
        <v>99999</v>
      </c>
      <c r="I100" s="7" t="s">
        <v>30</v>
      </c>
      <c r="J100" s="7" t="s">
        <v>101</v>
      </c>
      <c r="K100" s="7" t="s">
        <v>45</v>
      </c>
      <c r="L100" s="8">
        <v>41771</v>
      </c>
      <c r="M100" s="7" t="s">
        <v>46</v>
      </c>
      <c r="N100" s="7" t="s">
        <v>102</v>
      </c>
      <c r="O100" s="7" t="s">
        <v>98</v>
      </c>
      <c r="P100" s="7" t="s">
        <v>99</v>
      </c>
      <c r="Q100" s="7" t="s">
        <v>100</v>
      </c>
      <c r="R100" s="7">
        <v>99999</v>
      </c>
      <c r="S100" s="7" t="s">
        <v>30</v>
      </c>
      <c r="U100" s="7" t="s">
        <v>64</v>
      </c>
      <c r="V100" s="7" t="s">
        <v>65</v>
      </c>
      <c r="W100" s="9">
        <v>9.1999999999999993</v>
      </c>
      <c r="X100" s="7">
        <v>41</v>
      </c>
      <c r="Y100" s="10">
        <v>377.2</v>
      </c>
      <c r="Z100" s="9">
        <v>38.474400000000003</v>
      </c>
    </row>
    <row r="101" spans="1:26" x14ac:dyDescent="0.35">
      <c r="A101" s="7">
        <v>1109</v>
      </c>
      <c r="B101" s="8">
        <v>41770</v>
      </c>
      <c r="C101" s="7">
        <v>11</v>
      </c>
      <c r="D101" s="7" t="s">
        <v>113</v>
      </c>
      <c r="E101" s="7" t="s">
        <v>114</v>
      </c>
      <c r="F101" s="7" t="s">
        <v>115</v>
      </c>
      <c r="G101" s="7" t="s">
        <v>116</v>
      </c>
      <c r="H101" s="7">
        <v>99999</v>
      </c>
      <c r="I101" s="7" t="s">
        <v>30</v>
      </c>
      <c r="J101" s="7" t="s">
        <v>94</v>
      </c>
      <c r="K101" s="7" t="s">
        <v>95</v>
      </c>
      <c r="L101" s="8"/>
      <c r="M101" s="7" t="s">
        <v>62</v>
      </c>
      <c r="N101" s="7" t="s">
        <v>117</v>
      </c>
      <c r="O101" s="7" t="s">
        <v>114</v>
      </c>
      <c r="P101" s="7" t="s">
        <v>115</v>
      </c>
      <c r="Q101" s="7" t="s">
        <v>116</v>
      </c>
      <c r="R101" s="7">
        <v>99999</v>
      </c>
      <c r="S101" s="7" t="s">
        <v>30</v>
      </c>
      <c r="U101" s="7" t="s">
        <v>38</v>
      </c>
      <c r="V101" s="7" t="s">
        <v>39</v>
      </c>
      <c r="W101" s="9">
        <v>3.5</v>
      </c>
      <c r="X101" s="7">
        <v>44</v>
      </c>
      <c r="Y101" s="10">
        <v>154</v>
      </c>
      <c r="Z101" s="9">
        <v>15.246</v>
      </c>
    </row>
    <row r="102" spans="1:26" x14ac:dyDescent="0.35">
      <c r="A102" s="7">
        <v>1110</v>
      </c>
      <c r="B102" s="8">
        <v>41770</v>
      </c>
      <c r="C102" s="7">
        <v>11</v>
      </c>
      <c r="D102" s="7" t="s">
        <v>113</v>
      </c>
      <c r="E102" s="7" t="s">
        <v>114</v>
      </c>
      <c r="F102" s="7" t="s">
        <v>115</v>
      </c>
      <c r="G102" s="7" t="s">
        <v>116</v>
      </c>
      <c r="H102" s="7">
        <v>99999</v>
      </c>
      <c r="I102" s="7" t="s">
        <v>30</v>
      </c>
      <c r="J102" s="7" t="s">
        <v>94</v>
      </c>
      <c r="K102" s="7" t="s">
        <v>95</v>
      </c>
      <c r="L102" s="8"/>
      <c r="M102" s="7" t="s">
        <v>62</v>
      </c>
      <c r="N102" s="7" t="s">
        <v>117</v>
      </c>
      <c r="O102" s="7" t="s">
        <v>114</v>
      </c>
      <c r="P102" s="7" t="s">
        <v>115</v>
      </c>
      <c r="Q102" s="7" t="s">
        <v>116</v>
      </c>
      <c r="R102" s="7">
        <v>99999</v>
      </c>
      <c r="S102" s="7" t="s">
        <v>30</v>
      </c>
      <c r="U102" s="7" t="s">
        <v>103</v>
      </c>
      <c r="V102" s="7" t="s">
        <v>37</v>
      </c>
      <c r="W102" s="9">
        <v>2.99</v>
      </c>
      <c r="X102" s="7">
        <v>77</v>
      </c>
      <c r="Y102" s="10">
        <v>230.23000000000002</v>
      </c>
      <c r="Z102" s="9">
        <v>23.023000000000003</v>
      </c>
    </row>
    <row r="103" spans="1:26" x14ac:dyDescent="0.35">
      <c r="A103" s="7">
        <v>1111</v>
      </c>
      <c r="B103" s="8">
        <v>41760</v>
      </c>
      <c r="C103" s="7">
        <v>1</v>
      </c>
      <c r="D103" s="7" t="s">
        <v>118</v>
      </c>
      <c r="E103" s="7" t="s">
        <v>119</v>
      </c>
      <c r="F103" s="7" t="s">
        <v>120</v>
      </c>
      <c r="G103" s="7" t="s">
        <v>121</v>
      </c>
      <c r="H103" s="7">
        <v>99999</v>
      </c>
      <c r="I103" s="7" t="s">
        <v>30</v>
      </c>
      <c r="J103" s="7" t="s">
        <v>60</v>
      </c>
      <c r="K103" s="7" t="s">
        <v>61</v>
      </c>
      <c r="L103" s="8"/>
      <c r="N103" s="7" t="s">
        <v>122</v>
      </c>
      <c r="O103" s="7" t="s">
        <v>119</v>
      </c>
      <c r="P103" s="7" t="s">
        <v>120</v>
      </c>
      <c r="Q103" s="7" t="s">
        <v>121</v>
      </c>
      <c r="R103" s="7">
        <v>99999</v>
      </c>
      <c r="S103" s="7" t="s">
        <v>30</v>
      </c>
      <c r="U103" s="7" t="s">
        <v>54</v>
      </c>
      <c r="V103" s="7" t="s">
        <v>37</v>
      </c>
      <c r="W103" s="9">
        <v>18</v>
      </c>
      <c r="X103" s="7">
        <v>29</v>
      </c>
      <c r="Y103" s="10">
        <v>522</v>
      </c>
      <c r="Z103" s="9">
        <v>52.722000000000001</v>
      </c>
    </row>
    <row r="104" spans="1:26" x14ac:dyDescent="0.35">
      <c r="A104" s="7">
        <v>1112</v>
      </c>
      <c r="B104" s="8">
        <v>41760</v>
      </c>
      <c r="C104" s="7">
        <v>1</v>
      </c>
      <c r="D104" s="7" t="s">
        <v>118</v>
      </c>
      <c r="E104" s="7" t="s">
        <v>119</v>
      </c>
      <c r="F104" s="7" t="s">
        <v>120</v>
      </c>
      <c r="G104" s="7" t="s">
        <v>121</v>
      </c>
      <c r="H104" s="7">
        <v>99999</v>
      </c>
      <c r="I104" s="7" t="s">
        <v>30</v>
      </c>
      <c r="J104" s="7" t="s">
        <v>60</v>
      </c>
      <c r="K104" s="7" t="s">
        <v>61</v>
      </c>
      <c r="L104" s="8"/>
      <c r="N104" s="7" t="s">
        <v>122</v>
      </c>
      <c r="O104" s="7" t="s">
        <v>119</v>
      </c>
      <c r="P104" s="7" t="s">
        <v>120</v>
      </c>
      <c r="Q104" s="7" t="s">
        <v>121</v>
      </c>
      <c r="R104" s="7">
        <v>99999</v>
      </c>
      <c r="S104" s="7" t="s">
        <v>30</v>
      </c>
      <c r="U104" s="7" t="s">
        <v>55</v>
      </c>
      <c r="V104" s="7" t="s">
        <v>37</v>
      </c>
      <c r="W104" s="9">
        <v>46</v>
      </c>
      <c r="X104" s="7">
        <v>77</v>
      </c>
      <c r="Y104" s="10">
        <v>3542</v>
      </c>
      <c r="Z104" s="9">
        <v>368.36800000000005</v>
      </c>
    </row>
    <row r="105" spans="1:26" x14ac:dyDescent="0.35">
      <c r="A105" s="7">
        <v>1113</v>
      </c>
      <c r="B105" s="8">
        <v>41760</v>
      </c>
      <c r="C105" s="7">
        <v>1</v>
      </c>
      <c r="D105" s="7" t="s">
        <v>118</v>
      </c>
      <c r="E105" s="7" t="s">
        <v>119</v>
      </c>
      <c r="F105" s="7" t="s">
        <v>120</v>
      </c>
      <c r="G105" s="7" t="s">
        <v>121</v>
      </c>
      <c r="H105" s="7">
        <v>99999</v>
      </c>
      <c r="I105" s="7" t="s">
        <v>30</v>
      </c>
      <c r="J105" s="7" t="s">
        <v>60</v>
      </c>
      <c r="K105" s="7" t="s">
        <v>61</v>
      </c>
      <c r="L105" s="8"/>
      <c r="N105" s="7" t="s">
        <v>122</v>
      </c>
      <c r="O105" s="7" t="s">
        <v>119</v>
      </c>
      <c r="P105" s="7" t="s">
        <v>120</v>
      </c>
      <c r="Q105" s="7" t="s">
        <v>121</v>
      </c>
      <c r="R105" s="7">
        <v>99999</v>
      </c>
      <c r="S105" s="7" t="s">
        <v>30</v>
      </c>
      <c r="U105" s="7" t="s">
        <v>103</v>
      </c>
      <c r="V105" s="7" t="s">
        <v>37</v>
      </c>
      <c r="W105" s="9">
        <v>2.99</v>
      </c>
      <c r="X105" s="7">
        <v>73</v>
      </c>
      <c r="Y105" s="10">
        <v>218.27</v>
      </c>
      <c r="Z105" s="9">
        <v>21.827000000000002</v>
      </c>
    </row>
    <row r="106" spans="1:26" x14ac:dyDescent="0.35">
      <c r="A106" s="7">
        <v>1114</v>
      </c>
      <c r="B106" s="8">
        <v>41787</v>
      </c>
      <c r="C106" s="7">
        <v>28</v>
      </c>
      <c r="D106" s="7" t="s">
        <v>90</v>
      </c>
      <c r="E106" s="7" t="s">
        <v>91</v>
      </c>
      <c r="F106" s="7" t="s">
        <v>92</v>
      </c>
      <c r="G106" s="7" t="s">
        <v>93</v>
      </c>
      <c r="H106" s="7">
        <v>99999</v>
      </c>
      <c r="I106" s="7" t="s">
        <v>30</v>
      </c>
      <c r="J106" s="7" t="s">
        <v>94</v>
      </c>
      <c r="K106" s="7" t="s">
        <v>95</v>
      </c>
      <c r="L106" s="7">
        <v>41789</v>
      </c>
      <c r="M106" s="7" t="s">
        <v>62</v>
      </c>
      <c r="N106" s="7" t="s">
        <v>96</v>
      </c>
      <c r="O106" s="7" t="s">
        <v>91</v>
      </c>
      <c r="P106" s="7" t="s">
        <v>92</v>
      </c>
      <c r="Q106" s="7" t="s">
        <v>93</v>
      </c>
      <c r="R106" s="7">
        <v>99999</v>
      </c>
      <c r="S106" s="7" t="s">
        <v>30</v>
      </c>
      <c r="T106" s="7" t="s">
        <v>48</v>
      </c>
      <c r="U106" s="7" t="s">
        <v>80</v>
      </c>
      <c r="V106" s="7" t="s">
        <v>81</v>
      </c>
      <c r="W106" s="9">
        <v>9.65</v>
      </c>
      <c r="X106" s="7">
        <v>74</v>
      </c>
      <c r="Y106" s="10">
        <v>714.1</v>
      </c>
      <c r="Z106" s="9">
        <v>67.839500000000001</v>
      </c>
    </row>
    <row r="107" spans="1:26" x14ac:dyDescent="0.35">
      <c r="A107" s="7">
        <v>1115</v>
      </c>
      <c r="B107" s="8">
        <v>41787</v>
      </c>
      <c r="C107" s="7">
        <v>28</v>
      </c>
      <c r="D107" s="7" t="s">
        <v>90</v>
      </c>
      <c r="E107" s="7" t="s">
        <v>91</v>
      </c>
      <c r="F107" s="7" t="s">
        <v>92</v>
      </c>
      <c r="G107" s="7" t="s">
        <v>93</v>
      </c>
      <c r="H107" s="7">
        <v>99999</v>
      </c>
      <c r="I107" s="7" t="s">
        <v>30</v>
      </c>
      <c r="J107" s="7" t="s">
        <v>94</v>
      </c>
      <c r="K107" s="7" t="s">
        <v>95</v>
      </c>
      <c r="L107" s="8">
        <v>41789</v>
      </c>
      <c r="M107" s="7" t="s">
        <v>62</v>
      </c>
      <c r="N107" s="7" t="s">
        <v>96</v>
      </c>
      <c r="O107" s="7" t="s">
        <v>91</v>
      </c>
      <c r="P107" s="7" t="s">
        <v>92</v>
      </c>
      <c r="Q107" s="7" t="s">
        <v>93</v>
      </c>
      <c r="R107" s="7">
        <v>99999</v>
      </c>
      <c r="S107" s="7" t="s">
        <v>30</v>
      </c>
      <c r="T107" s="7" t="s">
        <v>48</v>
      </c>
      <c r="U107" s="7" t="s">
        <v>123</v>
      </c>
      <c r="V107" s="7" t="s">
        <v>124</v>
      </c>
      <c r="W107" s="9">
        <v>18.399999999999999</v>
      </c>
      <c r="X107" s="7">
        <v>25</v>
      </c>
      <c r="Y107" s="10">
        <v>459.99999999999994</v>
      </c>
      <c r="Z107" s="9">
        <v>46.46</v>
      </c>
    </row>
    <row r="108" spans="1:26" x14ac:dyDescent="0.35">
      <c r="A108" s="7">
        <v>1116</v>
      </c>
      <c r="B108" s="8">
        <v>41768</v>
      </c>
      <c r="C108" s="7">
        <v>9</v>
      </c>
      <c r="D108" s="7" t="s">
        <v>125</v>
      </c>
      <c r="E108" s="7" t="s">
        <v>126</v>
      </c>
      <c r="F108" s="7" t="s">
        <v>127</v>
      </c>
      <c r="G108" s="7" t="s">
        <v>128</v>
      </c>
      <c r="H108" s="7">
        <v>99999</v>
      </c>
      <c r="I108" s="7" t="s">
        <v>30</v>
      </c>
      <c r="J108" s="7" t="s">
        <v>129</v>
      </c>
      <c r="K108" s="7" t="s">
        <v>32</v>
      </c>
      <c r="L108" s="8">
        <v>41770</v>
      </c>
      <c r="M108" s="7" t="s">
        <v>46</v>
      </c>
      <c r="N108" s="7" t="s">
        <v>130</v>
      </c>
      <c r="O108" s="7" t="s">
        <v>126</v>
      </c>
      <c r="P108" s="7" t="s">
        <v>127</v>
      </c>
      <c r="Q108" s="7" t="s">
        <v>128</v>
      </c>
      <c r="R108" s="7">
        <v>99999</v>
      </c>
      <c r="S108" s="7" t="s">
        <v>30</v>
      </c>
      <c r="T108" s="7" t="s">
        <v>35</v>
      </c>
      <c r="U108" s="7" t="s">
        <v>131</v>
      </c>
      <c r="V108" s="7" t="s">
        <v>132</v>
      </c>
      <c r="W108" s="9">
        <v>19.5</v>
      </c>
      <c r="X108" s="7">
        <v>82</v>
      </c>
      <c r="Y108" s="10">
        <v>1599</v>
      </c>
      <c r="Z108" s="9">
        <v>153.50399999999999</v>
      </c>
    </row>
    <row r="109" spans="1:26" x14ac:dyDescent="0.35">
      <c r="A109" s="7">
        <v>1117</v>
      </c>
      <c r="B109" s="8">
        <v>41768</v>
      </c>
      <c r="C109" s="7">
        <v>9</v>
      </c>
      <c r="D109" s="7" t="s">
        <v>125</v>
      </c>
      <c r="E109" s="7" t="s">
        <v>126</v>
      </c>
      <c r="F109" s="7" t="s">
        <v>127</v>
      </c>
      <c r="G109" s="7" t="s">
        <v>128</v>
      </c>
      <c r="H109" s="7">
        <v>99999</v>
      </c>
      <c r="I109" s="7" t="s">
        <v>30</v>
      </c>
      <c r="J109" s="7" t="s">
        <v>129</v>
      </c>
      <c r="K109" s="7" t="s">
        <v>32</v>
      </c>
      <c r="L109" s="8">
        <v>41770</v>
      </c>
      <c r="M109" s="7" t="s">
        <v>46</v>
      </c>
      <c r="N109" s="7" t="s">
        <v>130</v>
      </c>
      <c r="O109" s="7" t="s">
        <v>126</v>
      </c>
      <c r="P109" s="7" t="s">
        <v>127</v>
      </c>
      <c r="Q109" s="7" t="s">
        <v>128</v>
      </c>
      <c r="R109" s="7">
        <v>99999</v>
      </c>
      <c r="S109" s="7" t="s">
        <v>30</v>
      </c>
      <c r="T109" s="7" t="s">
        <v>35</v>
      </c>
      <c r="U109" s="7" t="s">
        <v>133</v>
      </c>
      <c r="V109" s="7" t="s">
        <v>134</v>
      </c>
      <c r="W109" s="9">
        <v>34.799999999999997</v>
      </c>
      <c r="X109" s="7">
        <v>37</v>
      </c>
      <c r="Y109" s="10">
        <v>1287.5999999999999</v>
      </c>
      <c r="Z109" s="9">
        <v>132.62279999999998</v>
      </c>
    </row>
    <row r="110" spans="1:26" x14ac:dyDescent="0.35">
      <c r="A110" s="7">
        <v>1118</v>
      </c>
      <c r="B110" s="8">
        <v>41765</v>
      </c>
      <c r="C110" s="7">
        <v>6</v>
      </c>
      <c r="D110" s="7" t="s">
        <v>82</v>
      </c>
      <c r="E110" s="7" t="s">
        <v>83</v>
      </c>
      <c r="F110" s="7" t="s">
        <v>84</v>
      </c>
      <c r="G110" s="7" t="s">
        <v>85</v>
      </c>
      <c r="H110" s="7">
        <v>99999</v>
      </c>
      <c r="I110" s="7" t="s">
        <v>30</v>
      </c>
      <c r="J110" s="7" t="s">
        <v>86</v>
      </c>
      <c r="K110" s="7" t="s">
        <v>61</v>
      </c>
      <c r="L110" s="7">
        <v>41767</v>
      </c>
      <c r="M110" s="7" t="s">
        <v>33</v>
      </c>
      <c r="N110" s="7" t="s">
        <v>87</v>
      </c>
      <c r="O110" s="7" t="s">
        <v>83</v>
      </c>
      <c r="P110" s="7" t="s">
        <v>84</v>
      </c>
      <c r="Q110" s="7" t="s">
        <v>85</v>
      </c>
      <c r="R110" s="7">
        <v>99999</v>
      </c>
      <c r="S110" s="7" t="s">
        <v>30</v>
      </c>
      <c r="T110" s="7" t="s">
        <v>48</v>
      </c>
      <c r="U110" s="7" t="s">
        <v>36</v>
      </c>
      <c r="V110" s="7" t="s">
        <v>37</v>
      </c>
      <c r="W110" s="9">
        <v>14</v>
      </c>
      <c r="X110" s="7">
        <v>84</v>
      </c>
      <c r="Y110" s="10">
        <v>1176</v>
      </c>
      <c r="Z110" s="9">
        <v>112.896</v>
      </c>
    </row>
    <row r="111" spans="1:26" x14ac:dyDescent="0.35">
      <c r="A111" s="7">
        <v>1119</v>
      </c>
      <c r="B111" s="8">
        <v>41767</v>
      </c>
      <c r="C111" s="7">
        <v>8</v>
      </c>
      <c r="D111" s="7" t="s">
        <v>56</v>
      </c>
      <c r="E111" s="7" t="s">
        <v>57</v>
      </c>
      <c r="F111" s="7" t="s">
        <v>58</v>
      </c>
      <c r="G111" s="7" t="s">
        <v>59</v>
      </c>
      <c r="H111" s="7">
        <v>99999</v>
      </c>
      <c r="I111" s="7" t="s">
        <v>30</v>
      </c>
      <c r="J111" s="7" t="s">
        <v>60</v>
      </c>
      <c r="K111" s="7" t="s">
        <v>61</v>
      </c>
      <c r="L111" s="7">
        <v>41769</v>
      </c>
      <c r="M111" s="7" t="s">
        <v>33</v>
      </c>
      <c r="N111" s="7" t="s">
        <v>63</v>
      </c>
      <c r="O111" s="7" t="s">
        <v>57</v>
      </c>
      <c r="P111" s="7" t="s">
        <v>58</v>
      </c>
      <c r="Q111" s="7" t="s">
        <v>59</v>
      </c>
      <c r="R111" s="7">
        <v>99999</v>
      </c>
      <c r="S111" s="7" t="s">
        <v>30</v>
      </c>
      <c r="T111" s="7" t="s">
        <v>35</v>
      </c>
      <c r="U111" s="7" t="s">
        <v>88</v>
      </c>
      <c r="V111" s="7" t="s">
        <v>89</v>
      </c>
      <c r="W111" s="9">
        <v>40</v>
      </c>
      <c r="X111" s="7">
        <v>73</v>
      </c>
      <c r="Y111" s="10">
        <v>2920</v>
      </c>
      <c r="Z111" s="9">
        <v>283.24</v>
      </c>
    </row>
    <row r="112" spans="1:26" x14ac:dyDescent="0.35">
      <c r="A112" s="7">
        <v>1120</v>
      </c>
      <c r="B112" s="8">
        <v>41767</v>
      </c>
      <c r="C112" s="7">
        <v>8</v>
      </c>
      <c r="D112" s="7" t="s">
        <v>56</v>
      </c>
      <c r="E112" s="7" t="s">
        <v>57</v>
      </c>
      <c r="F112" s="7" t="s">
        <v>58</v>
      </c>
      <c r="G112" s="7" t="s">
        <v>59</v>
      </c>
      <c r="H112" s="7">
        <v>99999</v>
      </c>
      <c r="I112" s="7" t="s">
        <v>30</v>
      </c>
      <c r="J112" s="7" t="s">
        <v>60</v>
      </c>
      <c r="K112" s="7" t="s">
        <v>61</v>
      </c>
      <c r="L112" s="7">
        <v>41769</v>
      </c>
      <c r="M112" s="7" t="s">
        <v>33</v>
      </c>
      <c r="N112" s="7" t="s">
        <v>63</v>
      </c>
      <c r="O112" s="7" t="s">
        <v>57</v>
      </c>
      <c r="P112" s="7" t="s">
        <v>58</v>
      </c>
      <c r="Q112" s="7" t="s">
        <v>59</v>
      </c>
      <c r="R112" s="7">
        <v>99999</v>
      </c>
      <c r="S112" s="7" t="s">
        <v>30</v>
      </c>
      <c r="T112" s="7" t="s">
        <v>35</v>
      </c>
      <c r="U112" s="7" t="s">
        <v>64</v>
      </c>
      <c r="V112" s="7" t="s">
        <v>65</v>
      </c>
      <c r="W112" s="9">
        <v>9.1999999999999993</v>
      </c>
      <c r="X112" s="7">
        <v>51</v>
      </c>
      <c r="Y112" s="10">
        <v>469.2</v>
      </c>
      <c r="Z112" s="9">
        <v>44.573999999999998</v>
      </c>
    </row>
    <row r="113" spans="1:26" x14ac:dyDescent="0.35">
      <c r="A113" s="7">
        <v>1121</v>
      </c>
      <c r="B113" s="8">
        <v>41784</v>
      </c>
      <c r="C113" s="7">
        <v>25</v>
      </c>
      <c r="D113" s="7" t="s">
        <v>137</v>
      </c>
      <c r="E113" s="7" t="s">
        <v>138</v>
      </c>
      <c r="F113" s="7" t="s">
        <v>99</v>
      </c>
      <c r="G113" s="7" t="s">
        <v>100</v>
      </c>
      <c r="H113" s="7">
        <v>99999</v>
      </c>
      <c r="I113" s="7" t="s">
        <v>30</v>
      </c>
      <c r="J113" s="7" t="s">
        <v>101</v>
      </c>
      <c r="K113" s="7" t="s">
        <v>45</v>
      </c>
      <c r="L113" s="7">
        <v>41786</v>
      </c>
      <c r="M113" s="7" t="s">
        <v>46</v>
      </c>
      <c r="N113" s="7" t="s">
        <v>139</v>
      </c>
      <c r="O113" s="7" t="s">
        <v>138</v>
      </c>
      <c r="P113" s="7" t="s">
        <v>99</v>
      </c>
      <c r="Q113" s="7" t="s">
        <v>100</v>
      </c>
      <c r="R113" s="7">
        <v>99999</v>
      </c>
      <c r="S113" s="7" t="s">
        <v>30</v>
      </c>
      <c r="T113" s="7" t="s">
        <v>79</v>
      </c>
      <c r="U113" s="7" t="s">
        <v>146</v>
      </c>
      <c r="V113" s="7" t="s">
        <v>65</v>
      </c>
      <c r="W113" s="9">
        <v>10</v>
      </c>
      <c r="X113" s="7">
        <v>66</v>
      </c>
      <c r="Y113" s="10">
        <v>660</v>
      </c>
      <c r="Z113" s="9">
        <v>68.64</v>
      </c>
    </row>
    <row r="114" spans="1:26" x14ac:dyDescent="0.35">
      <c r="A114" s="7">
        <v>1122</v>
      </c>
      <c r="B114" s="8">
        <v>41785</v>
      </c>
      <c r="C114" s="7">
        <v>26</v>
      </c>
      <c r="D114" s="7" t="s">
        <v>140</v>
      </c>
      <c r="E114" s="7" t="s">
        <v>141</v>
      </c>
      <c r="F114" s="7" t="s">
        <v>115</v>
      </c>
      <c r="G114" s="7" t="s">
        <v>116</v>
      </c>
      <c r="H114" s="7">
        <v>99999</v>
      </c>
      <c r="I114" s="7" t="s">
        <v>30</v>
      </c>
      <c r="J114" s="7" t="s">
        <v>94</v>
      </c>
      <c r="K114" s="7" t="s">
        <v>95</v>
      </c>
      <c r="L114" s="7">
        <v>41787</v>
      </c>
      <c r="M114" s="7" t="s">
        <v>62</v>
      </c>
      <c r="N114" s="7" t="s">
        <v>142</v>
      </c>
      <c r="O114" s="7" t="s">
        <v>141</v>
      </c>
      <c r="P114" s="7" t="s">
        <v>115</v>
      </c>
      <c r="Q114" s="7" t="s">
        <v>116</v>
      </c>
      <c r="R114" s="7">
        <v>99999</v>
      </c>
      <c r="S114" s="7" t="s">
        <v>30</v>
      </c>
      <c r="T114" s="7" t="s">
        <v>48</v>
      </c>
      <c r="U114" s="7" t="s">
        <v>147</v>
      </c>
      <c r="V114" s="7" t="s">
        <v>148</v>
      </c>
      <c r="W114" s="9">
        <v>21.35</v>
      </c>
      <c r="X114" s="7">
        <v>36</v>
      </c>
      <c r="Y114" s="10">
        <v>768.6</v>
      </c>
      <c r="Z114" s="9">
        <v>74.554200000000009</v>
      </c>
    </row>
    <row r="115" spans="1:26" x14ac:dyDescent="0.35">
      <c r="A115" s="7">
        <v>1123</v>
      </c>
      <c r="B115" s="8">
        <v>41785</v>
      </c>
      <c r="C115" s="7">
        <v>26</v>
      </c>
      <c r="D115" s="7" t="s">
        <v>140</v>
      </c>
      <c r="E115" s="7" t="s">
        <v>141</v>
      </c>
      <c r="F115" s="7" t="s">
        <v>115</v>
      </c>
      <c r="G115" s="7" t="s">
        <v>116</v>
      </c>
      <c r="H115" s="7">
        <v>99999</v>
      </c>
      <c r="I115" s="7" t="s">
        <v>30</v>
      </c>
      <c r="J115" s="7" t="s">
        <v>94</v>
      </c>
      <c r="K115" s="7" t="s">
        <v>95</v>
      </c>
      <c r="L115" s="8">
        <v>41787</v>
      </c>
      <c r="M115" s="7" t="s">
        <v>62</v>
      </c>
      <c r="N115" s="7" t="s">
        <v>142</v>
      </c>
      <c r="O115" s="7" t="s">
        <v>141</v>
      </c>
      <c r="P115" s="7" t="s">
        <v>115</v>
      </c>
      <c r="Q115" s="7" t="s">
        <v>116</v>
      </c>
      <c r="R115" s="7">
        <v>99999</v>
      </c>
      <c r="S115" s="7" t="s">
        <v>30</v>
      </c>
      <c r="T115" s="7" t="s">
        <v>48</v>
      </c>
      <c r="U115" s="7" t="s">
        <v>80</v>
      </c>
      <c r="V115" s="7" t="s">
        <v>81</v>
      </c>
      <c r="W115" s="9">
        <v>9.65</v>
      </c>
      <c r="X115" s="7">
        <v>87</v>
      </c>
      <c r="Y115" s="10">
        <v>839.55000000000007</v>
      </c>
      <c r="Z115" s="9">
        <v>87.313200000000009</v>
      </c>
    </row>
    <row r="116" spans="1:26" x14ac:dyDescent="0.35">
      <c r="A116" s="7">
        <v>1124</v>
      </c>
      <c r="B116" s="8">
        <v>41785</v>
      </c>
      <c r="C116" s="7">
        <v>26</v>
      </c>
      <c r="D116" s="7" t="s">
        <v>140</v>
      </c>
      <c r="E116" s="7" t="s">
        <v>141</v>
      </c>
      <c r="F116" s="7" t="s">
        <v>115</v>
      </c>
      <c r="G116" s="7" t="s">
        <v>116</v>
      </c>
      <c r="H116" s="7">
        <v>99999</v>
      </c>
      <c r="I116" s="7" t="s">
        <v>30</v>
      </c>
      <c r="J116" s="7" t="s">
        <v>94</v>
      </c>
      <c r="K116" s="7" t="s">
        <v>95</v>
      </c>
      <c r="L116" s="8">
        <v>41787</v>
      </c>
      <c r="M116" s="7" t="s">
        <v>62</v>
      </c>
      <c r="N116" s="7" t="s">
        <v>142</v>
      </c>
      <c r="O116" s="7" t="s">
        <v>141</v>
      </c>
      <c r="P116" s="7" t="s">
        <v>115</v>
      </c>
      <c r="Q116" s="7" t="s">
        <v>116</v>
      </c>
      <c r="R116" s="7">
        <v>99999</v>
      </c>
      <c r="S116" s="7" t="s">
        <v>30</v>
      </c>
      <c r="T116" s="7" t="s">
        <v>48</v>
      </c>
      <c r="U116" s="7" t="s">
        <v>123</v>
      </c>
      <c r="V116" s="7" t="s">
        <v>124</v>
      </c>
      <c r="W116" s="9">
        <v>18.399999999999999</v>
      </c>
      <c r="X116" s="7">
        <v>64</v>
      </c>
      <c r="Y116" s="10">
        <v>1177.5999999999999</v>
      </c>
      <c r="Z116" s="9">
        <v>115.40479999999999</v>
      </c>
    </row>
    <row r="117" spans="1:26" x14ac:dyDescent="0.35">
      <c r="A117" s="7">
        <v>1125</v>
      </c>
      <c r="B117" s="8">
        <v>41788</v>
      </c>
      <c r="C117" s="7">
        <v>29</v>
      </c>
      <c r="D117" s="7" t="s">
        <v>66</v>
      </c>
      <c r="E117" s="7" t="s">
        <v>67</v>
      </c>
      <c r="F117" s="7" t="s">
        <v>68</v>
      </c>
      <c r="G117" s="7" t="s">
        <v>69</v>
      </c>
      <c r="H117" s="7">
        <v>99999</v>
      </c>
      <c r="I117" s="7" t="s">
        <v>30</v>
      </c>
      <c r="J117" s="7" t="s">
        <v>70</v>
      </c>
      <c r="K117" s="7" t="s">
        <v>32</v>
      </c>
      <c r="L117" s="8">
        <v>41790</v>
      </c>
      <c r="M117" s="7" t="s">
        <v>33</v>
      </c>
      <c r="N117" s="7" t="s">
        <v>71</v>
      </c>
      <c r="O117" s="7" t="s">
        <v>67</v>
      </c>
      <c r="P117" s="7" t="s">
        <v>68</v>
      </c>
      <c r="Q117" s="7" t="s">
        <v>69</v>
      </c>
      <c r="R117" s="7">
        <v>99999</v>
      </c>
      <c r="S117" s="7" t="s">
        <v>30</v>
      </c>
      <c r="T117" s="7" t="s">
        <v>35</v>
      </c>
      <c r="U117" s="7" t="s">
        <v>36</v>
      </c>
      <c r="V117" s="7" t="s">
        <v>37</v>
      </c>
      <c r="W117" s="9">
        <v>14</v>
      </c>
      <c r="X117" s="7">
        <v>21</v>
      </c>
      <c r="Y117" s="10">
        <v>294</v>
      </c>
      <c r="Z117" s="9">
        <v>30.870000000000005</v>
      </c>
    </row>
    <row r="118" spans="1:26" x14ac:dyDescent="0.35">
      <c r="A118" s="7">
        <v>1126</v>
      </c>
      <c r="B118" s="8">
        <v>41765</v>
      </c>
      <c r="C118" s="7">
        <v>6</v>
      </c>
      <c r="D118" s="7" t="s">
        <v>82</v>
      </c>
      <c r="E118" s="7" t="s">
        <v>83</v>
      </c>
      <c r="F118" s="7" t="s">
        <v>84</v>
      </c>
      <c r="G118" s="7" t="s">
        <v>85</v>
      </c>
      <c r="H118" s="7">
        <v>99999</v>
      </c>
      <c r="I118" s="7" t="s">
        <v>30</v>
      </c>
      <c r="J118" s="7" t="s">
        <v>86</v>
      </c>
      <c r="K118" s="7" t="s">
        <v>61</v>
      </c>
      <c r="L118" s="8">
        <v>41767</v>
      </c>
      <c r="M118" s="7" t="s">
        <v>62</v>
      </c>
      <c r="N118" s="7" t="s">
        <v>87</v>
      </c>
      <c r="O118" s="7" t="s">
        <v>83</v>
      </c>
      <c r="P118" s="7" t="s">
        <v>84</v>
      </c>
      <c r="Q118" s="7" t="s">
        <v>85</v>
      </c>
      <c r="R118" s="7">
        <v>99999</v>
      </c>
      <c r="S118" s="7" t="s">
        <v>30</v>
      </c>
      <c r="T118" s="7" t="s">
        <v>35</v>
      </c>
      <c r="U118" s="7" t="s">
        <v>72</v>
      </c>
      <c r="V118" s="7" t="s">
        <v>73</v>
      </c>
      <c r="W118" s="9">
        <v>12.75</v>
      </c>
      <c r="X118" s="7">
        <v>19</v>
      </c>
      <c r="Y118" s="10">
        <v>242.25</v>
      </c>
      <c r="Z118" s="9">
        <v>24.46725</v>
      </c>
    </row>
    <row r="119" spans="1:26" x14ac:dyDescent="0.35">
      <c r="A119" s="7">
        <v>1128</v>
      </c>
      <c r="B119" s="8">
        <v>41763</v>
      </c>
      <c r="C119" s="7">
        <v>4</v>
      </c>
      <c r="D119" s="7" t="s">
        <v>40</v>
      </c>
      <c r="E119" s="7" t="s">
        <v>41</v>
      </c>
      <c r="F119" s="7" t="s">
        <v>42</v>
      </c>
      <c r="G119" s="7" t="s">
        <v>43</v>
      </c>
      <c r="H119" s="7">
        <v>99999</v>
      </c>
      <c r="I119" s="7" t="s">
        <v>30</v>
      </c>
      <c r="J119" s="7" t="s">
        <v>44</v>
      </c>
      <c r="K119" s="7" t="s">
        <v>45</v>
      </c>
      <c r="L119" s="8">
        <v>41765</v>
      </c>
      <c r="M119" s="7" t="s">
        <v>46</v>
      </c>
      <c r="N119" s="7" t="s">
        <v>47</v>
      </c>
      <c r="O119" s="7" t="s">
        <v>41</v>
      </c>
      <c r="P119" s="7" t="s">
        <v>42</v>
      </c>
      <c r="Q119" s="7" t="s">
        <v>43</v>
      </c>
      <c r="R119" s="7">
        <v>99999</v>
      </c>
      <c r="S119" s="7" t="s">
        <v>30</v>
      </c>
      <c r="T119" s="7" t="s">
        <v>48</v>
      </c>
      <c r="U119" s="7" t="s">
        <v>149</v>
      </c>
      <c r="V119" s="7" t="s">
        <v>110</v>
      </c>
      <c r="W119" s="9">
        <v>81</v>
      </c>
      <c r="X119" s="7">
        <v>23</v>
      </c>
      <c r="Y119" s="10">
        <v>1863</v>
      </c>
      <c r="Z119" s="9">
        <v>195.61500000000001</v>
      </c>
    </row>
    <row r="120" spans="1:26" x14ac:dyDescent="0.35">
      <c r="A120" s="7">
        <v>1129</v>
      </c>
      <c r="B120" s="8">
        <v>41763</v>
      </c>
      <c r="C120" s="7">
        <v>4</v>
      </c>
      <c r="D120" s="7" t="s">
        <v>40</v>
      </c>
      <c r="E120" s="7" t="s">
        <v>41</v>
      </c>
      <c r="F120" s="7" t="s">
        <v>42</v>
      </c>
      <c r="G120" s="7" t="s">
        <v>43</v>
      </c>
      <c r="H120" s="7">
        <v>99999</v>
      </c>
      <c r="I120" s="7" t="s">
        <v>30</v>
      </c>
      <c r="J120" s="7" t="s">
        <v>44</v>
      </c>
      <c r="K120" s="7" t="s">
        <v>45</v>
      </c>
      <c r="L120" s="8">
        <v>41765</v>
      </c>
      <c r="M120" s="7" t="s">
        <v>46</v>
      </c>
      <c r="N120" s="7" t="s">
        <v>47</v>
      </c>
      <c r="O120" s="7" t="s">
        <v>41</v>
      </c>
      <c r="P120" s="7" t="s">
        <v>42</v>
      </c>
      <c r="Q120" s="7" t="s">
        <v>43</v>
      </c>
      <c r="R120" s="7">
        <v>99999</v>
      </c>
      <c r="S120" s="7" t="s">
        <v>30</v>
      </c>
      <c r="T120" s="7" t="s">
        <v>48</v>
      </c>
      <c r="U120" s="7" t="s">
        <v>150</v>
      </c>
      <c r="V120" s="7" t="s">
        <v>151</v>
      </c>
      <c r="W120" s="9">
        <v>7</v>
      </c>
      <c r="X120" s="7">
        <v>72</v>
      </c>
      <c r="Y120" s="10">
        <v>504</v>
      </c>
      <c r="Z120" s="9">
        <v>51.912000000000006</v>
      </c>
    </row>
    <row r="121" spans="1:26" x14ac:dyDescent="0.35">
      <c r="A121" s="7">
        <v>1131</v>
      </c>
      <c r="B121" s="8">
        <v>41767</v>
      </c>
      <c r="C121" s="7">
        <v>8</v>
      </c>
      <c r="D121" s="7" t="s">
        <v>56</v>
      </c>
      <c r="E121" s="7" t="s">
        <v>57</v>
      </c>
      <c r="F121" s="7" t="s">
        <v>58</v>
      </c>
      <c r="G121" s="7" t="s">
        <v>59</v>
      </c>
      <c r="H121" s="7">
        <v>99999</v>
      </c>
      <c r="I121" s="7" t="s">
        <v>30</v>
      </c>
      <c r="J121" s="7" t="s">
        <v>60</v>
      </c>
      <c r="K121" s="7" t="s">
        <v>61</v>
      </c>
      <c r="L121" s="8">
        <v>41769</v>
      </c>
      <c r="M121" s="7" t="s">
        <v>62</v>
      </c>
      <c r="N121" s="7" t="s">
        <v>63</v>
      </c>
      <c r="O121" s="7" t="s">
        <v>57</v>
      </c>
      <c r="P121" s="7" t="s">
        <v>58</v>
      </c>
      <c r="Q121" s="7" t="s">
        <v>59</v>
      </c>
      <c r="R121" s="7">
        <v>99999</v>
      </c>
      <c r="S121" s="7" t="s">
        <v>30</v>
      </c>
      <c r="T121" s="7" t="s">
        <v>48</v>
      </c>
      <c r="U121" s="7" t="s">
        <v>133</v>
      </c>
      <c r="V121" s="7" t="s">
        <v>134</v>
      </c>
      <c r="W121" s="9">
        <v>34.799999999999997</v>
      </c>
      <c r="X121" s="7">
        <v>22</v>
      </c>
      <c r="Y121" s="10">
        <v>765.59999999999991</v>
      </c>
      <c r="Z121" s="9">
        <v>75.02879999999999</v>
      </c>
    </row>
    <row r="122" spans="1:26" x14ac:dyDescent="0.35">
      <c r="A122" s="7">
        <v>1134</v>
      </c>
      <c r="B122" s="8">
        <v>41762</v>
      </c>
      <c r="C122" s="7">
        <v>3</v>
      </c>
      <c r="D122" s="7" t="s">
        <v>74</v>
      </c>
      <c r="E122" s="7" t="s">
        <v>75</v>
      </c>
      <c r="F122" s="7" t="s">
        <v>76</v>
      </c>
      <c r="G122" s="7" t="s">
        <v>77</v>
      </c>
      <c r="H122" s="7">
        <v>99999</v>
      </c>
      <c r="I122" s="7" t="s">
        <v>30</v>
      </c>
      <c r="J122" s="7" t="s">
        <v>31</v>
      </c>
      <c r="K122" s="7" t="s">
        <v>32</v>
      </c>
      <c r="L122" s="8">
        <v>41764</v>
      </c>
      <c r="M122" s="7" t="s">
        <v>33</v>
      </c>
      <c r="N122" s="7" t="s">
        <v>78</v>
      </c>
      <c r="O122" s="7" t="s">
        <v>75</v>
      </c>
      <c r="P122" s="7" t="s">
        <v>76</v>
      </c>
      <c r="Q122" s="7" t="s">
        <v>77</v>
      </c>
      <c r="R122" s="7">
        <v>99999</v>
      </c>
      <c r="S122" s="7" t="s">
        <v>30</v>
      </c>
      <c r="T122" s="7" t="s">
        <v>79</v>
      </c>
      <c r="U122" s="7" t="s">
        <v>135</v>
      </c>
      <c r="V122" s="7" t="s">
        <v>112</v>
      </c>
      <c r="W122" s="9">
        <v>10</v>
      </c>
      <c r="X122" s="7">
        <v>82</v>
      </c>
      <c r="Y122" s="10">
        <v>820</v>
      </c>
      <c r="Z122" s="9">
        <v>85.28</v>
      </c>
    </row>
    <row r="123" spans="1:26" x14ac:dyDescent="0.35">
      <c r="A123" s="7">
        <v>1135</v>
      </c>
      <c r="B123" s="8">
        <v>41762</v>
      </c>
      <c r="C123" s="7">
        <v>3</v>
      </c>
      <c r="D123" s="7" t="s">
        <v>74</v>
      </c>
      <c r="E123" s="7" t="s">
        <v>75</v>
      </c>
      <c r="F123" s="7" t="s">
        <v>76</v>
      </c>
      <c r="G123" s="7" t="s">
        <v>77</v>
      </c>
      <c r="H123" s="7">
        <v>99999</v>
      </c>
      <c r="I123" s="7" t="s">
        <v>30</v>
      </c>
      <c r="J123" s="7" t="s">
        <v>31</v>
      </c>
      <c r="K123" s="7" t="s">
        <v>32</v>
      </c>
      <c r="L123" s="8">
        <v>41764</v>
      </c>
      <c r="M123" s="7" t="s">
        <v>33</v>
      </c>
      <c r="N123" s="7" t="s">
        <v>78</v>
      </c>
      <c r="O123" s="7" t="s">
        <v>75</v>
      </c>
      <c r="P123" s="7" t="s">
        <v>76</v>
      </c>
      <c r="Q123" s="7" t="s">
        <v>77</v>
      </c>
      <c r="R123" s="7">
        <v>99999</v>
      </c>
      <c r="S123" s="7" t="s">
        <v>30</v>
      </c>
      <c r="T123" s="7" t="s">
        <v>79</v>
      </c>
      <c r="U123" s="7" t="s">
        <v>88</v>
      </c>
      <c r="V123" s="7" t="s">
        <v>89</v>
      </c>
      <c r="W123" s="9">
        <v>40</v>
      </c>
      <c r="X123" s="7">
        <v>98</v>
      </c>
      <c r="Y123" s="10">
        <v>3920</v>
      </c>
      <c r="Z123" s="9">
        <v>411.6</v>
      </c>
    </row>
    <row r="124" spans="1:26" x14ac:dyDescent="0.35">
      <c r="A124" s="7">
        <v>1138</v>
      </c>
      <c r="B124" s="8">
        <v>41797</v>
      </c>
      <c r="C124" s="7">
        <v>7</v>
      </c>
      <c r="D124" s="7" t="s">
        <v>104</v>
      </c>
      <c r="E124" s="7" t="s">
        <v>105</v>
      </c>
      <c r="F124" s="7" t="s">
        <v>106</v>
      </c>
      <c r="G124" s="7" t="s">
        <v>107</v>
      </c>
      <c r="H124" s="7">
        <v>99999</v>
      </c>
      <c r="I124" s="7" t="s">
        <v>30</v>
      </c>
      <c r="J124" s="7" t="s">
        <v>60</v>
      </c>
      <c r="K124" s="7" t="s">
        <v>61</v>
      </c>
      <c r="L124" s="8"/>
      <c r="N124" s="7" t="s">
        <v>108</v>
      </c>
      <c r="O124" s="7" t="s">
        <v>105</v>
      </c>
      <c r="P124" s="7" t="s">
        <v>106</v>
      </c>
      <c r="Q124" s="7" t="s">
        <v>107</v>
      </c>
      <c r="R124" s="7">
        <v>99999</v>
      </c>
      <c r="S124" s="7" t="s">
        <v>30</v>
      </c>
      <c r="U124" s="7" t="s">
        <v>55</v>
      </c>
      <c r="V124" s="7" t="s">
        <v>37</v>
      </c>
      <c r="W124" s="9">
        <v>46</v>
      </c>
      <c r="X124" s="7">
        <v>71</v>
      </c>
      <c r="Y124" s="10">
        <v>3266</v>
      </c>
      <c r="Z124" s="9">
        <v>310.27</v>
      </c>
    </row>
    <row r="125" spans="1:26" x14ac:dyDescent="0.35">
      <c r="A125" s="7">
        <v>1139</v>
      </c>
      <c r="B125" s="8">
        <v>41800</v>
      </c>
      <c r="C125" s="7">
        <v>10</v>
      </c>
      <c r="D125" s="7" t="s">
        <v>97</v>
      </c>
      <c r="E125" s="7" t="s">
        <v>98</v>
      </c>
      <c r="F125" s="7" t="s">
        <v>99</v>
      </c>
      <c r="G125" s="7" t="s">
        <v>100</v>
      </c>
      <c r="H125" s="7">
        <v>99999</v>
      </c>
      <c r="I125" s="7" t="s">
        <v>30</v>
      </c>
      <c r="J125" s="7" t="s">
        <v>101</v>
      </c>
      <c r="K125" s="7" t="s">
        <v>45</v>
      </c>
      <c r="L125" s="8">
        <v>41802</v>
      </c>
      <c r="M125" s="7" t="s">
        <v>46</v>
      </c>
      <c r="N125" s="7" t="s">
        <v>102</v>
      </c>
      <c r="O125" s="7" t="s">
        <v>98</v>
      </c>
      <c r="P125" s="7" t="s">
        <v>99</v>
      </c>
      <c r="Q125" s="7" t="s">
        <v>100</v>
      </c>
      <c r="R125" s="7">
        <v>99999</v>
      </c>
      <c r="S125" s="7" t="s">
        <v>30</v>
      </c>
      <c r="U125" s="7" t="s">
        <v>109</v>
      </c>
      <c r="V125" s="7" t="s">
        <v>110</v>
      </c>
      <c r="W125" s="9">
        <v>25</v>
      </c>
      <c r="X125" s="7">
        <v>40</v>
      </c>
      <c r="Y125" s="10">
        <v>1000</v>
      </c>
      <c r="Z125" s="9">
        <v>105</v>
      </c>
    </row>
    <row r="126" spans="1:26" x14ac:dyDescent="0.35">
      <c r="A126" s="7">
        <v>1140</v>
      </c>
      <c r="B126" s="8">
        <v>41800</v>
      </c>
      <c r="C126" s="7">
        <v>10</v>
      </c>
      <c r="D126" s="7" t="s">
        <v>97</v>
      </c>
      <c r="E126" s="7" t="s">
        <v>98</v>
      </c>
      <c r="F126" s="7" t="s">
        <v>99</v>
      </c>
      <c r="G126" s="7" t="s">
        <v>100</v>
      </c>
      <c r="H126" s="7">
        <v>99999</v>
      </c>
      <c r="I126" s="7" t="s">
        <v>30</v>
      </c>
      <c r="J126" s="7" t="s">
        <v>101</v>
      </c>
      <c r="K126" s="7" t="s">
        <v>45</v>
      </c>
      <c r="L126" s="8">
        <v>41802</v>
      </c>
      <c r="M126" s="7" t="s">
        <v>46</v>
      </c>
      <c r="N126" s="7" t="s">
        <v>102</v>
      </c>
      <c r="O126" s="7" t="s">
        <v>98</v>
      </c>
      <c r="P126" s="7" t="s">
        <v>99</v>
      </c>
      <c r="Q126" s="7" t="s">
        <v>100</v>
      </c>
      <c r="R126" s="7">
        <v>99999</v>
      </c>
      <c r="S126" s="7" t="s">
        <v>30</v>
      </c>
      <c r="U126" s="7" t="s">
        <v>111</v>
      </c>
      <c r="V126" s="7" t="s">
        <v>112</v>
      </c>
      <c r="W126" s="9">
        <v>22</v>
      </c>
      <c r="X126" s="7">
        <v>80</v>
      </c>
      <c r="Y126" s="10">
        <v>1760</v>
      </c>
      <c r="Z126" s="9">
        <v>172.48</v>
      </c>
    </row>
    <row r="127" spans="1:26" x14ac:dyDescent="0.35">
      <c r="A127" s="7">
        <v>1141</v>
      </c>
      <c r="B127" s="8">
        <v>41800</v>
      </c>
      <c r="C127" s="7">
        <v>10</v>
      </c>
      <c r="D127" s="7" t="s">
        <v>97</v>
      </c>
      <c r="E127" s="7" t="s">
        <v>98</v>
      </c>
      <c r="F127" s="7" t="s">
        <v>99</v>
      </c>
      <c r="G127" s="7" t="s">
        <v>100</v>
      </c>
      <c r="H127" s="7">
        <v>99999</v>
      </c>
      <c r="I127" s="7" t="s">
        <v>30</v>
      </c>
      <c r="J127" s="7" t="s">
        <v>101</v>
      </c>
      <c r="K127" s="7" t="s">
        <v>45</v>
      </c>
      <c r="L127" s="8">
        <v>41802</v>
      </c>
      <c r="M127" s="7" t="s">
        <v>46</v>
      </c>
      <c r="N127" s="7" t="s">
        <v>102</v>
      </c>
      <c r="O127" s="7" t="s">
        <v>98</v>
      </c>
      <c r="P127" s="7" t="s">
        <v>99</v>
      </c>
      <c r="Q127" s="7" t="s">
        <v>100</v>
      </c>
      <c r="R127" s="7">
        <v>99999</v>
      </c>
      <c r="S127" s="7" t="s">
        <v>30</v>
      </c>
      <c r="U127" s="7" t="s">
        <v>64</v>
      </c>
      <c r="V127" s="7" t="s">
        <v>65</v>
      </c>
      <c r="W127" s="9">
        <v>9.1999999999999993</v>
      </c>
      <c r="X127" s="7">
        <v>38</v>
      </c>
      <c r="Y127" s="10">
        <v>349.59999999999997</v>
      </c>
      <c r="Z127" s="9">
        <v>33.211999999999996</v>
      </c>
    </row>
    <row r="128" spans="1:26" x14ac:dyDescent="0.35">
      <c r="A128" s="7">
        <v>1142</v>
      </c>
      <c r="B128" s="8">
        <v>41801</v>
      </c>
      <c r="C128" s="7">
        <v>11</v>
      </c>
      <c r="D128" s="7" t="s">
        <v>113</v>
      </c>
      <c r="E128" s="7" t="s">
        <v>114</v>
      </c>
      <c r="F128" s="7" t="s">
        <v>115</v>
      </c>
      <c r="G128" s="7" t="s">
        <v>116</v>
      </c>
      <c r="H128" s="7">
        <v>99999</v>
      </c>
      <c r="I128" s="7" t="s">
        <v>30</v>
      </c>
      <c r="J128" s="7" t="s">
        <v>94</v>
      </c>
      <c r="K128" s="7" t="s">
        <v>95</v>
      </c>
      <c r="L128" s="8"/>
      <c r="M128" s="7" t="s">
        <v>62</v>
      </c>
      <c r="N128" s="7" t="s">
        <v>117</v>
      </c>
      <c r="O128" s="7" t="s">
        <v>114</v>
      </c>
      <c r="P128" s="7" t="s">
        <v>115</v>
      </c>
      <c r="Q128" s="7" t="s">
        <v>116</v>
      </c>
      <c r="R128" s="7">
        <v>99999</v>
      </c>
      <c r="S128" s="7" t="s">
        <v>30</v>
      </c>
      <c r="U128" s="7" t="s">
        <v>38</v>
      </c>
      <c r="V128" s="7" t="s">
        <v>39</v>
      </c>
      <c r="W128" s="7">
        <v>3.5</v>
      </c>
      <c r="X128" s="7">
        <v>28</v>
      </c>
      <c r="Y128" s="10">
        <v>98</v>
      </c>
      <c r="Z128" s="9">
        <v>10.290000000000001</v>
      </c>
    </row>
    <row r="129" spans="1:26" x14ac:dyDescent="0.35">
      <c r="A129" s="7">
        <v>1143</v>
      </c>
      <c r="B129" s="8">
        <v>41801</v>
      </c>
      <c r="C129" s="7">
        <v>11</v>
      </c>
      <c r="D129" s="7" t="s">
        <v>113</v>
      </c>
      <c r="E129" s="7" t="s">
        <v>114</v>
      </c>
      <c r="F129" s="7" t="s">
        <v>115</v>
      </c>
      <c r="G129" s="7" t="s">
        <v>116</v>
      </c>
      <c r="H129" s="7">
        <v>99999</v>
      </c>
      <c r="I129" s="7" t="s">
        <v>30</v>
      </c>
      <c r="J129" s="7" t="s">
        <v>94</v>
      </c>
      <c r="K129" s="7" t="s">
        <v>95</v>
      </c>
      <c r="L129" s="8"/>
      <c r="M129" s="7" t="s">
        <v>62</v>
      </c>
      <c r="N129" s="7" t="s">
        <v>117</v>
      </c>
      <c r="O129" s="7" t="s">
        <v>114</v>
      </c>
      <c r="P129" s="7" t="s">
        <v>115</v>
      </c>
      <c r="Q129" s="7" t="s">
        <v>116</v>
      </c>
      <c r="R129" s="7">
        <v>99999</v>
      </c>
      <c r="S129" s="7" t="s">
        <v>30</v>
      </c>
      <c r="U129" s="7" t="s">
        <v>103</v>
      </c>
      <c r="V129" s="7" t="s">
        <v>37</v>
      </c>
      <c r="W129" s="7">
        <v>2.99</v>
      </c>
      <c r="X129" s="7">
        <v>60</v>
      </c>
      <c r="Y129" s="10">
        <v>179.4</v>
      </c>
      <c r="Z129" s="9">
        <v>17.581200000000003</v>
      </c>
    </row>
    <row r="130" spans="1:26" x14ac:dyDescent="0.35">
      <c r="A130" s="7">
        <v>1144</v>
      </c>
      <c r="B130" s="8">
        <v>41791</v>
      </c>
      <c r="C130" s="7">
        <v>1</v>
      </c>
      <c r="D130" s="7" t="s">
        <v>118</v>
      </c>
      <c r="E130" s="7" t="s">
        <v>119</v>
      </c>
      <c r="F130" s="7" t="s">
        <v>120</v>
      </c>
      <c r="G130" s="7" t="s">
        <v>121</v>
      </c>
      <c r="H130" s="7">
        <v>99999</v>
      </c>
      <c r="I130" s="7" t="s">
        <v>30</v>
      </c>
      <c r="J130" s="7" t="s">
        <v>60</v>
      </c>
      <c r="K130" s="7" t="s">
        <v>61</v>
      </c>
      <c r="L130" s="8"/>
      <c r="N130" s="7" t="s">
        <v>122</v>
      </c>
      <c r="O130" s="7" t="s">
        <v>119</v>
      </c>
      <c r="P130" s="7" t="s">
        <v>120</v>
      </c>
      <c r="Q130" s="7" t="s">
        <v>121</v>
      </c>
      <c r="R130" s="7">
        <v>99999</v>
      </c>
      <c r="S130" s="7" t="s">
        <v>30</v>
      </c>
      <c r="U130" s="7" t="s">
        <v>54</v>
      </c>
      <c r="V130" s="7" t="s">
        <v>37</v>
      </c>
      <c r="W130" s="7">
        <v>18</v>
      </c>
      <c r="X130" s="7">
        <v>33</v>
      </c>
      <c r="Y130" s="10">
        <v>594</v>
      </c>
      <c r="Z130" s="9">
        <v>58.212000000000003</v>
      </c>
    </row>
    <row r="131" spans="1:26" x14ac:dyDescent="0.35">
      <c r="A131" s="7">
        <v>1145</v>
      </c>
      <c r="B131" s="8">
        <v>41791</v>
      </c>
      <c r="C131" s="7">
        <v>1</v>
      </c>
      <c r="D131" s="7" t="s">
        <v>118</v>
      </c>
      <c r="E131" s="7" t="s">
        <v>119</v>
      </c>
      <c r="F131" s="7" t="s">
        <v>120</v>
      </c>
      <c r="G131" s="7" t="s">
        <v>121</v>
      </c>
      <c r="H131" s="7">
        <v>99999</v>
      </c>
      <c r="I131" s="7" t="s">
        <v>30</v>
      </c>
      <c r="J131" s="7" t="s">
        <v>60</v>
      </c>
      <c r="K131" s="7" t="s">
        <v>61</v>
      </c>
      <c r="L131" s="8"/>
      <c r="N131" s="7" t="s">
        <v>122</v>
      </c>
      <c r="O131" s="7" t="s">
        <v>119</v>
      </c>
      <c r="P131" s="7" t="s">
        <v>120</v>
      </c>
      <c r="Q131" s="7" t="s">
        <v>121</v>
      </c>
      <c r="R131" s="7">
        <v>99999</v>
      </c>
      <c r="S131" s="7" t="s">
        <v>30</v>
      </c>
      <c r="U131" s="7" t="s">
        <v>55</v>
      </c>
      <c r="V131" s="7" t="s">
        <v>37</v>
      </c>
      <c r="W131" s="7">
        <v>46</v>
      </c>
      <c r="X131" s="7">
        <v>22</v>
      </c>
      <c r="Y131" s="10">
        <v>1012</v>
      </c>
      <c r="Z131" s="9">
        <v>101.2</v>
      </c>
    </row>
    <row r="132" spans="1:26" x14ac:dyDescent="0.35">
      <c r="A132" s="7">
        <v>1146</v>
      </c>
      <c r="B132" s="8">
        <v>41791</v>
      </c>
      <c r="C132" s="7">
        <v>1</v>
      </c>
      <c r="D132" s="7" t="s">
        <v>118</v>
      </c>
      <c r="E132" s="7" t="s">
        <v>119</v>
      </c>
      <c r="F132" s="7" t="s">
        <v>120</v>
      </c>
      <c r="G132" s="7" t="s">
        <v>121</v>
      </c>
      <c r="H132" s="7">
        <v>99999</v>
      </c>
      <c r="I132" s="7" t="s">
        <v>30</v>
      </c>
      <c r="J132" s="7" t="s">
        <v>60</v>
      </c>
      <c r="K132" s="7" t="s">
        <v>61</v>
      </c>
      <c r="L132" s="8"/>
      <c r="N132" s="7" t="s">
        <v>122</v>
      </c>
      <c r="O132" s="7" t="s">
        <v>119</v>
      </c>
      <c r="P132" s="7" t="s">
        <v>120</v>
      </c>
      <c r="Q132" s="7" t="s">
        <v>121</v>
      </c>
      <c r="R132" s="7">
        <v>99999</v>
      </c>
      <c r="S132" s="7" t="s">
        <v>30</v>
      </c>
      <c r="U132" s="7" t="s">
        <v>103</v>
      </c>
      <c r="V132" s="7" t="s">
        <v>37</v>
      </c>
      <c r="W132" s="7">
        <v>2.99</v>
      </c>
      <c r="X132" s="7">
        <v>51</v>
      </c>
      <c r="Y132" s="10">
        <v>152.49</v>
      </c>
      <c r="Z132" s="9">
        <v>14.944020000000002</v>
      </c>
    </row>
    <row r="133" spans="1:26" x14ac:dyDescent="0.35">
      <c r="A133" s="7">
        <v>1147</v>
      </c>
      <c r="B133" s="8">
        <v>41818</v>
      </c>
      <c r="C133" s="7">
        <v>28</v>
      </c>
      <c r="D133" s="7" t="s">
        <v>90</v>
      </c>
      <c r="E133" s="7" t="s">
        <v>91</v>
      </c>
      <c r="F133" s="7" t="s">
        <v>92</v>
      </c>
      <c r="G133" s="7" t="s">
        <v>93</v>
      </c>
      <c r="H133" s="7">
        <v>99999</v>
      </c>
      <c r="I133" s="7" t="s">
        <v>30</v>
      </c>
      <c r="J133" s="7" t="s">
        <v>94</v>
      </c>
      <c r="K133" s="7" t="s">
        <v>95</v>
      </c>
      <c r="L133" s="8">
        <v>41820</v>
      </c>
      <c r="M133" s="7" t="s">
        <v>62</v>
      </c>
      <c r="N133" s="7" t="s">
        <v>96</v>
      </c>
      <c r="O133" s="7" t="s">
        <v>91</v>
      </c>
      <c r="P133" s="7" t="s">
        <v>92</v>
      </c>
      <c r="Q133" s="7" t="s">
        <v>93</v>
      </c>
      <c r="R133" s="7">
        <v>99999</v>
      </c>
      <c r="S133" s="7" t="s">
        <v>30</v>
      </c>
      <c r="T133" s="7" t="s">
        <v>48</v>
      </c>
      <c r="U133" s="7" t="s">
        <v>80</v>
      </c>
      <c r="V133" s="7" t="s">
        <v>81</v>
      </c>
      <c r="W133" s="7">
        <v>9.65</v>
      </c>
      <c r="X133" s="7">
        <v>60</v>
      </c>
      <c r="Y133" s="10">
        <v>579</v>
      </c>
      <c r="Z133" s="9">
        <v>57.321000000000005</v>
      </c>
    </row>
    <row r="134" spans="1:26" x14ac:dyDescent="0.35">
      <c r="A134" s="7">
        <v>1148</v>
      </c>
      <c r="B134" s="8">
        <v>41818</v>
      </c>
      <c r="C134" s="7">
        <v>28</v>
      </c>
      <c r="D134" s="7" t="s">
        <v>90</v>
      </c>
      <c r="E134" s="7" t="s">
        <v>91</v>
      </c>
      <c r="F134" s="7" t="s">
        <v>92</v>
      </c>
      <c r="G134" s="7" t="s">
        <v>93</v>
      </c>
      <c r="H134" s="7">
        <v>99999</v>
      </c>
      <c r="I134" s="7" t="s">
        <v>30</v>
      </c>
      <c r="J134" s="7" t="s">
        <v>94</v>
      </c>
      <c r="K134" s="7" t="s">
        <v>95</v>
      </c>
      <c r="L134" s="8">
        <v>41820</v>
      </c>
      <c r="M134" s="7" t="s">
        <v>62</v>
      </c>
      <c r="N134" s="7" t="s">
        <v>96</v>
      </c>
      <c r="O134" s="7" t="s">
        <v>91</v>
      </c>
      <c r="P134" s="7" t="s">
        <v>92</v>
      </c>
      <c r="Q134" s="7" t="s">
        <v>93</v>
      </c>
      <c r="R134" s="7">
        <v>99999</v>
      </c>
      <c r="S134" s="7" t="s">
        <v>30</v>
      </c>
      <c r="T134" s="7" t="s">
        <v>48</v>
      </c>
      <c r="U134" s="7" t="s">
        <v>123</v>
      </c>
      <c r="V134" s="7" t="s">
        <v>124</v>
      </c>
      <c r="W134" s="7">
        <v>18.399999999999999</v>
      </c>
      <c r="X134" s="7">
        <v>98</v>
      </c>
      <c r="Y134" s="10">
        <v>1803.1999999999998</v>
      </c>
      <c r="Z134" s="9">
        <v>183.9264</v>
      </c>
    </row>
    <row r="135" spans="1:26" x14ac:dyDescent="0.35">
      <c r="A135" s="7">
        <v>1149</v>
      </c>
      <c r="B135" s="8">
        <v>41799</v>
      </c>
      <c r="C135" s="7">
        <v>9</v>
      </c>
      <c r="D135" s="7" t="s">
        <v>125</v>
      </c>
      <c r="E135" s="7" t="s">
        <v>126</v>
      </c>
      <c r="F135" s="7" t="s">
        <v>127</v>
      </c>
      <c r="G135" s="7" t="s">
        <v>128</v>
      </c>
      <c r="H135" s="7">
        <v>99999</v>
      </c>
      <c r="I135" s="7" t="s">
        <v>30</v>
      </c>
      <c r="J135" s="7" t="s">
        <v>129</v>
      </c>
      <c r="K135" s="7" t="s">
        <v>32</v>
      </c>
      <c r="L135" s="8">
        <v>41801</v>
      </c>
      <c r="M135" s="7" t="s">
        <v>46</v>
      </c>
      <c r="N135" s="7" t="s">
        <v>130</v>
      </c>
      <c r="O135" s="7" t="s">
        <v>126</v>
      </c>
      <c r="P135" s="7" t="s">
        <v>127</v>
      </c>
      <c r="Q135" s="7" t="s">
        <v>128</v>
      </c>
      <c r="R135" s="7">
        <v>99999</v>
      </c>
      <c r="S135" s="7" t="s">
        <v>30</v>
      </c>
      <c r="T135" s="7" t="s">
        <v>35</v>
      </c>
      <c r="U135" s="7" t="s">
        <v>131</v>
      </c>
      <c r="V135" s="7" t="s">
        <v>132</v>
      </c>
      <c r="W135" s="7">
        <v>19.5</v>
      </c>
      <c r="X135" s="7">
        <v>27</v>
      </c>
      <c r="Y135" s="10">
        <v>526.5</v>
      </c>
      <c r="Z135" s="9">
        <v>51.070500000000003</v>
      </c>
    </row>
    <row r="136" spans="1:26" x14ac:dyDescent="0.35">
      <c r="A136" s="7">
        <v>1150</v>
      </c>
      <c r="B136" s="8">
        <v>41799</v>
      </c>
      <c r="C136" s="7">
        <v>9</v>
      </c>
      <c r="D136" s="7" t="s">
        <v>125</v>
      </c>
      <c r="E136" s="7" t="s">
        <v>126</v>
      </c>
      <c r="F136" s="7" t="s">
        <v>127</v>
      </c>
      <c r="G136" s="7" t="s">
        <v>128</v>
      </c>
      <c r="H136" s="7">
        <v>99999</v>
      </c>
      <c r="I136" s="7" t="s">
        <v>30</v>
      </c>
      <c r="J136" s="7" t="s">
        <v>129</v>
      </c>
      <c r="K136" s="7" t="s">
        <v>32</v>
      </c>
      <c r="L136" s="8">
        <v>41801</v>
      </c>
      <c r="M136" s="7" t="s">
        <v>46</v>
      </c>
      <c r="N136" s="7" t="s">
        <v>130</v>
      </c>
      <c r="O136" s="7" t="s">
        <v>126</v>
      </c>
      <c r="P136" s="7" t="s">
        <v>127</v>
      </c>
      <c r="Q136" s="7" t="s">
        <v>128</v>
      </c>
      <c r="R136" s="7">
        <v>99999</v>
      </c>
      <c r="S136" s="7" t="s">
        <v>30</v>
      </c>
      <c r="T136" s="7" t="s">
        <v>35</v>
      </c>
      <c r="U136" s="7" t="s">
        <v>133</v>
      </c>
      <c r="V136" s="7" t="s">
        <v>134</v>
      </c>
      <c r="W136" s="7">
        <v>34.799999999999997</v>
      </c>
      <c r="X136" s="7">
        <v>88</v>
      </c>
      <c r="Y136" s="10">
        <v>3062.3999999999996</v>
      </c>
      <c r="Z136" s="9">
        <v>303.17759999999993</v>
      </c>
    </row>
    <row r="137" spans="1:26" x14ac:dyDescent="0.35">
      <c r="A137" s="7">
        <v>1151</v>
      </c>
      <c r="B137" s="8">
        <v>41796</v>
      </c>
      <c r="C137" s="7">
        <v>6</v>
      </c>
      <c r="D137" s="7" t="s">
        <v>82</v>
      </c>
      <c r="E137" s="7" t="s">
        <v>83</v>
      </c>
      <c r="F137" s="7" t="s">
        <v>84</v>
      </c>
      <c r="G137" s="7" t="s">
        <v>85</v>
      </c>
      <c r="H137" s="7">
        <v>99999</v>
      </c>
      <c r="I137" s="7" t="s">
        <v>30</v>
      </c>
      <c r="J137" s="7" t="s">
        <v>86</v>
      </c>
      <c r="K137" s="7" t="s">
        <v>61</v>
      </c>
      <c r="L137" s="8">
        <v>41798</v>
      </c>
      <c r="M137" s="7" t="s">
        <v>33</v>
      </c>
      <c r="N137" s="7" t="s">
        <v>87</v>
      </c>
      <c r="O137" s="7" t="s">
        <v>83</v>
      </c>
      <c r="P137" s="7" t="s">
        <v>84</v>
      </c>
      <c r="Q137" s="7" t="s">
        <v>85</v>
      </c>
      <c r="R137" s="7">
        <v>99999</v>
      </c>
      <c r="S137" s="7" t="s">
        <v>30</v>
      </c>
      <c r="T137" s="7" t="s">
        <v>48</v>
      </c>
      <c r="U137" s="7" t="s">
        <v>36</v>
      </c>
      <c r="V137" s="7" t="s">
        <v>37</v>
      </c>
      <c r="W137" s="7">
        <v>14</v>
      </c>
      <c r="X137" s="7">
        <v>65</v>
      </c>
      <c r="Y137" s="10">
        <v>910</v>
      </c>
      <c r="Z137" s="9">
        <v>95.55</v>
      </c>
    </row>
    <row r="138" spans="1:26" x14ac:dyDescent="0.35">
      <c r="A138" s="7">
        <v>1152</v>
      </c>
      <c r="B138" s="8">
        <v>41798</v>
      </c>
      <c r="C138" s="7">
        <v>8</v>
      </c>
      <c r="D138" s="7" t="s">
        <v>56</v>
      </c>
      <c r="E138" s="7" t="s">
        <v>57</v>
      </c>
      <c r="F138" s="7" t="s">
        <v>58</v>
      </c>
      <c r="G138" s="7" t="s">
        <v>59</v>
      </c>
      <c r="H138" s="7">
        <v>99999</v>
      </c>
      <c r="I138" s="7" t="s">
        <v>30</v>
      </c>
      <c r="J138" s="7" t="s">
        <v>60</v>
      </c>
      <c r="K138" s="7" t="s">
        <v>61</v>
      </c>
      <c r="L138" s="8">
        <v>41800</v>
      </c>
      <c r="M138" s="7" t="s">
        <v>33</v>
      </c>
      <c r="N138" s="7" t="s">
        <v>63</v>
      </c>
      <c r="O138" s="7" t="s">
        <v>57</v>
      </c>
      <c r="P138" s="7" t="s">
        <v>58</v>
      </c>
      <c r="Q138" s="7" t="s">
        <v>59</v>
      </c>
      <c r="R138" s="7">
        <v>99999</v>
      </c>
      <c r="S138" s="7" t="s">
        <v>30</v>
      </c>
      <c r="T138" s="7" t="s">
        <v>35</v>
      </c>
      <c r="U138" s="7" t="s">
        <v>88</v>
      </c>
      <c r="V138" s="7" t="s">
        <v>89</v>
      </c>
      <c r="W138" s="7">
        <v>40</v>
      </c>
      <c r="X138" s="7">
        <v>38</v>
      </c>
      <c r="Y138" s="10">
        <v>1520</v>
      </c>
      <c r="Z138" s="9">
        <v>148.96</v>
      </c>
    </row>
    <row r="139" spans="1:26" x14ac:dyDescent="0.35">
      <c r="A139" s="7">
        <v>1153</v>
      </c>
      <c r="B139" s="8">
        <v>41798</v>
      </c>
      <c r="C139" s="7">
        <v>8</v>
      </c>
      <c r="D139" s="7" t="s">
        <v>56</v>
      </c>
      <c r="E139" s="7" t="s">
        <v>57</v>
      </c>
      <c r="F139" s="7" t="s">
        <v>58</v>
      </c>
      <c r="G139" s="7" t="s">
        <v>59</v>
      </c>
      <c r="H139" s="7">
        <v>99999</v>
      </c>
      <c r="I139" s="7" t="s">
        <v>30</v>
      </c>
      <c r="J139" s="7" t="s">
        <v>60</v>
      </c>
      <c r="K139" s="7" t="s">
        <v>61</v>
      </c>
      <c r="L139" s="7">
        <v>41800</v>
      </c>
      <c r="M139" s="7" t="s">
        <v>33</v>
      </c>
      <c r="N139" s="7" t="s">
        <v>63</v>
      </c>
      <c r="O139" s="7" t="s">
        <v>57</v>
      </c>
      <c r="P139" s="7" t="s">
        <v>58</v>
      </c>
      <c r="Q139" s="7" t="s">
        <v>59</v>
      </c>
      <c r="R139" s="7">
        <v>99999</v>
      </c>
      <c r="S139" s="7" t="s">
        <v>30</v>
      </c>
      <c r="T139" s="7" t="s">
        <v>35</v>
      </c>
      <c r="U139" s="7" t="s">
        <v>64</v>
      </c>
      <c r="V139" s="7" t="s">
        <v>65</v>
      </c>
      <c r="W139" s="9">
        <v>9.1999999999999993</v>
      </c>
      <c r="X139" s="7">
        <v>80</v>
      </c>
      <c r="Y139" s="10">
        <v>736</v>
      </c>
      <c r="Z139" s="9">
        <v>70.656000000000006</v>
      </c>
    </row>
    <row r="140" spans="1:26" x14ac:dyDescent="0.35">
      <c r="A140" s="7">
        <v>1154</v>
      </c>
      <c r="B140" s="8">
        <v>41815</v>
      </c>
      <c r="C140" s="7">
        <v>25</v>
      </c>
      <c r="D140" s="7" t="s">
        <v>137</v>
      </c>
      <c r="E140" s="7" t="s">
        <v>138</v>
      </c>
      <c r="F140" s="7" t="s">
        <v>99</v>
      </c>
      <c r="G140" s="7" t="s">
        <v>100</v>
      </c>
      <c r="H140" s="7">
        <v>99999</v>
      </c>
      <c r="I140" s="7" t="s">
        <v>30</v>
      </c>
      <c r="J140" s="7" t="s">
        <v>101</v>
      </c>
      <c r="K140" s="7" t="s">
        <v>45</v>
      </c>
      <c r="L140" s="8">
        <v>41817</v>
      </c>
      <c r="M140" s="7" t="s">
        <v>46</v>
      </c>
      <c r="N140" s="7" t="s">
        <v>139</v>
      </c>
      <c r="O140" s="7" t="s">
        <v>138</v>
      </c>
      <c r="P140" s="7" t="s">
        <v>99</v>
      </c>
      <c r="Q140" s="7" t="s">
        <v>100</v>
      </c>
      <c r="R140" s="7">
        <v>99999</v>
      </c>
      <c r="S140" s="7" t="s">
        <v>30</v>
      </c>
      <c r="T140" s="7" t="s">
        <v>79</v>
      </c>
      <c r="U140" s="7" t="s">
        <v>146</v>
      </c>
      <c r="V140" s="7" t="s">
        <v>65</v>
      </c>
      <c r="W140" s="9">
        <v>10</v>
      </c>
      <c r="X140" s="7">
        <v>49</v>
      </c>
      <c r="Y140" s="10">
        <v>490</v>
      </c>
      <c r="Z140" s="9">
        <v>47.04</v>
      </c>
    </row>
    <row r="141" spans="1:26" x14ac:dyDescent="0.35">
      <c r="A141" s="7">
        <v>1155</v>
      </c>
      <c r="B141" s="8">
        <v>41816</v>
      </c>
      <c r="C141" s="7">
        <v>26</v>
      </c>
      <c r="D141" s="7" t="s">
        <v>140</v>
      </c>
      <c r="E141" s="7" t="s">
        <v>141</v>
      </c>
      <c r="F141" s="7" t="s">
        <v>115</v>
      </c>
      <c r="G141" s="7" t="s">
        <v>116</v>
      </c>
      <c r="H141" s="7">
        <v>99999</v>
      </c>
      <c r="I141" s="7" t="s">
        <v>30</v>
      </c>
      <c r="J141" s="7" t="s">
        <v>94</v>
      </c>
      <c r="K141" s="7" t="s">
        <v>95</v>
      </c>
      <c r="L141" s="8">
        <v>41818</v>
      </c>
      <c r="M141" s="7" t="s">
        <v>62</v>
      </c>
      <c r="N141" s="7" t="s">
        <v>142</v>
      </c>
      <c r="O141" s="7" t="s">
        <v>141</v>
      </c>
      <c r="P141" s="7" t="s">
        <v>115</v>
      </c>
      <c r="Q141" s="7" t="s">
        <v>116</v>
      </c>
      <c r="R141" s="7">
        <v>99999</v>
      </c>
      <c r="S141" s="7" t="s">
        <v>30</v>
      </c>
      <c r="T141" s="7" t="s">
        <v>48</v>
      </c>
      <c r="U141" s="7" t="s">
        <v>147</v>
      </c>
      <c r="V141" s="7" t="s">
        <v>148</v>
      </c>
      <c r="W141" s="9">
        <v>21.35</v>
      </c>
      <c r="X141" s="7">
        <v>90</v>
      </c>
      <c r="Y141" s="10">
        <v>1921.5000000000002</v>
      </c>
      <c r="Z141" s="9">
        <v>186.38550000000004</v>
      </c>
    </row>
    <row r="142" spans="1:26" x14ac:dyDescent="0.35">
      <c r="A142" s="7">
        <v>1156</v>
      </c>
      <c r="B142" s="8">
        <v>41816</v>
      </c>
      <c r="C142" s="7">
        <v>26</v>
      </c>
      <c r="D142" s="7" t="s">
        <v>140</v>
      </c>
      <c r="E142" s="7" t="s">
        <v>141</v>
      </c>
      <c r="F142" s="7" t="s">
        <v>115</v>
      </c>
      <c r="G142" s="7" t="s">
        <v>116</v>
      </c>
      <c r="H142" s="7">
        <v>99999</v>
      </c>
      <c r="I142" s="7" t="s">
        <v>30</v>
      </c>
      <c r="J142" s="7" t="s">
        <v>94</v>
      </c>
      <c r="K142" s="7" t="s">
        <v>95</v>
      </c>
      <c r="L142" s="8">
        <v>41818</v>
      </c>
      <c r="M142" s="7" t="s">
        <v>62</v>
      </c>
      <c r="N142" s="7" t="s">
        <v>142</v>
      </c>
      <c r="O142" s="7" t="s">
        <v>141</v>
      </c>
      <c r="P142" s="7" t="s">
        <v>115</v>
      </c>
      <c r="Q142" s="7" t="s">
        <v>116</v>
      </c>
      <c r="R142" s="7">
        <v>99999</v>
      </c>
      <c r="S142" s="7" t="s">
        <v>30</v>
      </c>
      <c r="T142" s="7" t="s">
        <v>48</v>
      </c>
      <c r="U142" s="7" t="s">
        <v>80</v>
      </c>
      <c r="V142" s="7" t="s">
        <v>81</v>
      </c>
      <c r="W142" s="9">
        <v>9.65</v>
      </c>
      <c r="X142" s="7">
        <v>60</v>
      </c>
      <c r="Y142" s="10">
        <v>579</v>
      </c>
      <c r="Z142" s="9">
        <v>59.637000000000008</v>
      </c>
    </row>
    <row r="143" spans="1:26" x14ac:dyDescent="0.35">
      <c r="A143" s="7">
        <v>1157</v>
      </c>
      <c r="B143" s="8">
        <v>41816</v>
      </c>
      <c r="C143" s="7">
        <v>26</v>
      </c>
      <c r="D143" s="7" t="s">
        <v>140</v>
      </c>
      <c r="E143" s="7" t="s">
        <v>141</v>
      </c>
      <c r="F143" s="7" t="s">
        <v>115</v>
      </c>
      <c r="G143" s="7" t="s">
        <v>116</v>
      </c>
      <c r="H143" s="7">
        <v>99999</v>
      </c>
      <c r="I143" s="7" t="s">
        <v>30</v>
      </c>
      <c r="J143" s="7" t="s">
        <v>94</v>
      </c>
      <c r="K143" s="7" t="s">
        <v>95</v>
      </c>
      <c r="L143" s="7">
        <v>41818</v>
      </c>
      <c r="M143" s="7" t="s">
        <v>62</v>
      </c>
      <c r="N143" s="7" t="s">
        <v>142</v>
      </c>
      <c r="O143" s="7" t="s">
        <v>141</v>
      </c>
      <c r="P143" s="7" t="s">
        <v>115</v>
      </c>
      <c r="Q143" s="7" t="s">
        <v>116</v>
      </c>
      <c r="R143" s="7">
        <v>99999</v>
      </c>
      <c r="S143" s="7" t="s">
        <v>30</v>
      </c>
      <c r="T143" s="7" t="s">
        <v>48</v>
      </c>
      <c r="U143" s="7" t="s">
        <v>123</v>
      </c>
      <c r="V143" s="7" t="s">
        <v>124</v>
      </c>
      <c r="W143" s="9">
        <v>18.399999999999999</v>
      </c>
      <c r="X143" s="7">
        <v>39</v>
      </c>
      <c r="Y143" s="10">
        <v>717.59999999999991</v>
      </c>
      <c r="Z143" s="9">
        <v>71.759999999999991</v>
      </c>
    </row>
    <row r="144" spans="1:26" x14ac:dyDescent="0.35">
      <c r="A144" s="7">
        <v>1158</v>
      </c>
      <c r="B144" s="8">
        <v>41819</v>
      </c>
      <c r="C144" s="7">
        <v>29</v>
      </c>
      <c r="D144" s="7" t="s">
        <v>66</v>
      </c>
      <c r="E144" s="7" t="s">
        <v>67</v>
      </c>
      <c r="F144" s="7" t="s">
        <v>68</v>
      </c>
      <c r="G144" s="7" t="s">
        <v>69</v>
      </c>
      <c r="H144" s="7">
        <v>99999</v>
      </c>
      <c r="I144" s="7" t="s">
        <v>30</v>
      </c>
      <c r="J144" s="7" t="s">
        <v>70</v>
      </c>
      <c r="K144" s="7" t="s">
        <v>32</v>
      </c>
      <c r="L144" s="7">
        <v>41821</v>
      </c>
      <c r="M144" s="7" t="s">
        <v>33</v>
      </c>
      <c r="N144" s="7" t="s">
        <v>71</v>
      </c>
      <c r="O144" s="7" t="s">
        <v>67</v>
      </c>
      <c r="P144" s="7" t="s">
        <v>68</v>
      </c>
      <c r="Q144" s="7" t="s">
        <v>69</v>
      </c>
      <c r="R144" s="7">
        <v>99999</v>
      </c>
      <c r="S144" s="7" t="s">
        <v>30</v>
      </c>
      <c r="T144" s="7" t="s">
        <v>35</v>
      </c>
      <c r="U144" s="7" t="s">
        <v>36</v>
      </c>
      <c r="V144" s="7" t="s">
        <v>37</v>
      </c>
      <c r="W144" s="9">
        <v>14</v>
      </c>
      <c r="X144" s="7">
        <v>79</v>
      </c>
      <c r="Y144" s="10">
        <v>1106</v>
      </c>
      <c r="Z144" s="9">
        <v>113.91800000000001</v>
      </c>
    </row>
    <row r="145" spans="1:26" x14ac:dyDescent="0.35">
      <c r="A145" s="7">
        <v>1159</v>
      </c>
      <c r="B145" s="8">
        <v>41796</v>
      </c>
      <c r="C145" s="7">
        <v>6</v>
      </c>
      <c r="D145" s="7" t="s">
        <v>82</v>
      </c>
      <c r="E145" s="7" t="s">
        <v>83</v>
      </c>
      <c r="F145" s="7" t="s">
        <v>84</v>
      </c>
      <c r="G145" s="7" t="s">
        <v>85</v>
      </c>
      <c r="H145" s="7">
        <v>99999</v>
      </c>
      <c r="I145" s="7" t="s">
        <v>30</v>
      </c>
      <c r="J145" s="7" t="s">
        <v>86</v>
      </c>
      <c r="K145" s="7" t="s">
        <v>61</v>
      </c>
      <c r="L145" s="7">
        <v>41798</v>
      </c>
      <c r="M145" s="7" t="s">
        <v>62</v>
      </c>
      <c r="N145" s="7" t="s">
        <v>87</v>
      </c>
      <c r="O145" s="7" t="s">
        <v>83</v>
      </c>
      <c r="P145" s="7" t="s">
        <v>84</v>
      </c>
      <c r="Q145" s="7" t="s">
        <v>85</v>
      </c>
      <c r="R145" s="7">
        <v>99999</v>
      </c>
      <c r="S145" s="7" t="s">
        <v>30</v>
      </c>
      <c r="T145" s="7" t="s">
        <v>35</v>
      </c>
      <c r="U145" s="7" t="s">
        <v>72</v>
      </c>
      <c r="V145" s="7" t="s">
        <v>73</v>
      </c>
      <c r="W145" s="9">
        <v>12.75</v>
      </c>
      <c r="X145" s="7">
        <v>44</v>
      </c>
      <c r="Y145" s="10">
        <v>561</v>
      </c>
      <c r="Z145" s="9">
        <v>57.222000000000001</v>
      </c>
    </row>
    <row r="146" spans="1:26" x14ac:dyDescent="0.35">
      <c r="A146" s="7">
        <v>1161</v>
      </c>
      <c r="B146" s="8">
        <v>41794</v>
      </c>
      <c r="C146" s="7">
        <v>4</v>
      </c>
      <c r="D146" s="7" t="s">
        <v>40</v>
      </c>
      <c r="E146" s="7" t="s">
        <v>41</v>
      </c>
      <c r="F146" s="7" t="s">
        <v>42</v>
      </c>
      <c r="G146" s="7" t="s">
        <v>43</v>
      </c>
      <c r="H146" s="7">
        <v>99999</v>
      </c>
      <c r="I146" s="7" t="s">
        <v>30</v>
      </c>
      <c r="J146" s="7" t="s">
        <v>44</v>
      </c>
      <c r="K146" s="7" t="s">
        <v>45</v>
      </c>
      <c r="L146" s="7">
        <v>41796</v>
      </c>
      <c r="M146" s="7" t="s">
        <v>46</v>
      </c>
      <c r="N146" s="7" t="s">
        <v>47</v>
      </c>
      <c r="O146" s="7" t="s">
        <v>41</v>
      </c>
      <c r="P146" s="7" t="s">
        <v>42</v>
      </c>
      <c r="Q146" s="7" t="s">
        <v>43</v>
      </c>
      <c r="R146" s="7">
        <v>99999</v>
      </c>
      <c r="S146" s="7" t="s">
        <v>30</v>
      </c>
      <c r="T146" s="7" t="s">
        <v>48</v>
      </c>
      <c r="U146" s="7" t="s">
        <v>149</v>
      </c>
      <c r="V146" s="7" t="s">
        <v>110</v>
      </c>
      <c r="W146" s="9">
        <v>81</v>
      </c>
      <c r="X146" s="7">
        <v>98</v>
      </c>
      <c r="Y146" s="10">
        <v>7938</v>
      </c>
      <c r="Z146" s="9">
        <v>769.98599999999999</v>
      </c>
    </row>
    <row r="147" spans="1:26" x14ac:dyDescent="0.35">
      <c r="A147" s="7">
        <v>1162</v>
      </c>
      <c r="B147" s="8">
        <v>41794</v>
      </c>
      <c r="C147" s="7">
        <v>4</v>
      </c>
      <c r="D147" s="7" t="s">
        <v>40</v>
      </c>
      <c r="E147" s="7" t="s">
        <v>41</v>
      </c>
      <c r="F147" s="7" t="s">
        <v>42</v>
      </c>
      <c r="G147" s="7" t="s">
        <v>43</v>
      </c>
      <c r="H147" s="7">
        <v>99999</v>
      </c>
      <c r="I147" s="7" t="s">
        <v>30</v>
      </c>
      <c r="J147" s="7" t="s">
        <v>44</v>
      </c>
      <c r="K147" s="7" t="s">
        <v>45</v>
      </c>
      <c r="L147" s="7">
        <v>41796</v>
      </c>
      <c r="M147" s="7" t="s">
        <v>46</v>
      </c>
      <c r="N147" s="7" t="s">
        <v>47</v>
      </c>
      <c r="O147" s="7" t="s">
        <v>41</v>
      </c>
      <c r="P147" s="7" t="s">
        <v>42</v>
      </c>
      <c r="Q147" s="7" t="s">
        <v>43</v>
      </c>
      <c r="R147" s="7">
        <v>99999</v>
      </c>
      <c r="S147" s="7" t="s">
        <v>30</v>
      </c>
      <c r="T147" s="7" t="s">
        <v>48</v>
      </c>
      <c r="U147" s="7" t="s">
        <v>150</v>
      </c>
      <c r="V147" s="7" t="s">
        <v>151</v>
      </c>
      <c r="W147" s="9">
        <v>7</v>
      </c>
      <c r="X147" s="7">
        <v>61</v>
      </c>
      <c r="Y147" s="10">
        <v>427</v>
      </c>
      <c r="Z147" s="9">
        <v>42.273000000000003</v>
      </c>
    </row>
    <row r="148" spans="1:26" x14ac:dyDescent="0.35">
      <c r="A148" s="7">
        <v>1164</v>
      </c>
      <c r="B148" s="8">
        <v>41798</v>
      </c>
      <c r="C148" s="7">
        <v>8</v>
      </c>
      <c r="D148" s="7" t="s">
        <v>56</v>
      </c>
      <c r="E148" s="7" t="s">
        <v>57</v>
      </c>
      <c r="F148" s="7" t="s">
        <v>58</v>
      </c>
      <c r="G148" s="7" t="s">
        <v>59</v>
      </c>
      <c r="H148" s="7">
        <v>99999</v>
      </c>
      <c r="I148" s="7" t="s">
        <v>30</v>
      </c>
      <c r="J148" s="7" t="s">
        <v>60</v>
      </c>
      <c r="K148" s="7" t="s">
        <v>61</v>
      </c>
      <c r="L148" s="8">
        <v>41800</v>
      </c>
      <c r="M148" s="7" t="s">
        <v>62</v>
      </c>
      <c r="N148" s="7" t="s">
        <v>63</v>
      </c>
      <c r="O148" s="7" t="s">
        <v>57</v>
      </c>
      <c r="P148" s="7" t="s">
        <v>58</v>
      </c>
      <c r="Q148" s="7" t="s">
        <v>59</v>
      </c>
      <c r="R148" s="7">
        <v>99999</v>
      </c>
      <c r="S148" s="7" t="s">
        <v>30</v>
      </c>
      <c r="T148" s="7" t="s">
        <v>48</v>
      </c>
      <c r="U148" s="7" t="s">
        <v>133</v>
      </c>
      <c r="V148" s="7" t="s">
        <v>134</v>
      </c>
      <c r="W148" s="9">
        <v>34.799999999999997</v>
      </c>
      <c r="X148" s="7">
        <v>30</v>
      </c>
      <c r="Y148" s="10">
        <v>1044</v>
      </c>
      <c r="Z148" s="9">
        <v>109.62</v>
      </c>
    </row>
    <row r="149" spans="1:26" x14ac:dyDescent="0.35">
      <c r="A149" s="7">
        <v>1167</v>
      </c>
      <c r="B149" s="8">
        <v>41793</v>
      </c>
      <c r="C149" s="7">
        <v>3</v>
      </c>
      <c r="D149" s="7" t="s">
        <v>74</v>
      </c>
      <c r="E149" s="7" t="s">
        <v>75</v>
      </c>
      <c r="F149" s="7" t="s">
        <v>76</v>
      </c>
      <c r="G149" s="7" t="s">
        <v>77</v>
      </c>
      <c r="H149" s="7">
        <v>99999</v>
      </c>
      <c r="I149" s="7" t="s">
        <v>30</v>
      </c>
      <c r="J149" s="7" t="s">
        <v>31</v>
      </c>
      <c r="K149" s="7" t="s">
        <v>32</v>
      </c>
      <c r="L149" s="8">
        <v>41795</v>
      </c>
      <c r="M149" s="7" t="s">
        <v>33</v>
      </c>
      <c r="N149" s="7" t="s">
        <v>78</v>
      </c>
      <c r="O149" s="7" t="s">
        <v>75</v>
      </c>
      <c r="P149" s="7" t="s">
        <v>76</v>
      </c>
      <c r="Q149" s="7" t="s">
        <v>77</v>
      </c>
      <c r="R149" s="7">
        <v>99999</v>
      </c>
      <c r="S149" s="7" t="s">
        <v>30</v>
      </c>
      <c r="T149" s="7" t="s">
        <v>79</v>
      </c>
      <c r="U149" s="7" t="s">
        <v>135</v>
      </c>
      <c r="V149" s="7" t="s">
        <v>112</v>
      </c>
      <c r="W149" s="9">
        <v>10</v>
      </c>
      <c r="X149" s="7">
        <v>24</v>
      </c>
      <c r="Y149" s="10">
        <v>240</v>
      </c>
      <c r="Z149" s="9">
        <v>25.200000000000003</v>
      </c>
    </row>
    <row r="150" spans="1:26" x14ac:dyDescent="0.35">
      <c r="A150" s="7">
        <v>1168</v>
      </c>
      <c r="B150" s="8">
        <v>41793</v>
      </c>
      <c r="C150" s="7">
        <v>3</v>
      </c>
      <c r="D150" s="7" t="s">
        <v>74</v>
      </c>
      <c r="E150" s="7" t="s">
        <v>75</v>
      </c>
      <c r="F150" s="7" t="s">
        <v>76</v>
      </c>
      <c r="G150" s="7" t="s">
        <v>77</v>
      </c>
      <c r="H150" s="7">
        <v>99999</v>
      </c>
      <c r="I150" s="7" t="s">
        <v>30</v>
      </c>
      <c r="J150" s="7" t="s">
        <v>31</v>
      </c>
      <c r="K150" s="7" t="s">
        <v>32</v>
      </c>
      <c r="L150" s="8">
        <v>41795</v>
      </c>
      <c r="M150" s="7" t="s">
        <v>33</v>
      </c>
      <c r="N150" s="7" t="s">
        <v>78</v>
      </c>
      <c r="O150" s="7" t="s">
        <v>75</v>
      </c>
      <c r="P150" s="7" t="s">
        <v>76</v>
      </c>
      <c r="Q150" s="7" t="s">
        <v>77</v>
      </c>
      <c r="R150" s="7">
        <v>99999</v>
      </c>
      <c r="S150" s="7" t="s">
        <v>30</v>
      </c>
      <c r="T150" s="7" t="s">
        <v>79</v>
      </c>
      <c r="U150" s="7" t="s">
        <v>88</v>
      </c>
      <c r="V150" s="7" t="s">
        <v>89</v>
      </c>
      <c r="W150" s="9">
        <v>40</v>
      </c>
      <c r="X150" s="7">
        <v>28</v>
      </c>
      <c r="Y150" s="10">
        <v>1120</v>
      </c>
      <c r="Z150" s="9">
        <v>109.75999999999999</v>
      </c>
    </row>
    <row r="151" spans="1:26" x14ac:dyDescent="0.35">
      <c r="A151" s="7">
        <v>1172</v>
      </c>
      <c r="B151" s="8">
        <v>41800</v>
      </c>
      <c r="C151" s="7">
        <v>10</v>
      </c>
      <c r="D151" s="7" t="s">
        <v>97</v>
      </c>
      <c r="E151" s="7" t="s">
        <v>98</v>
      </c>
      <c r="F151" s="7" t="s">
        <v>99</v>
      </c>
      <c r="G151" s="7" t="s">
        <v>100</v>
      </c>
      <c r="H151" s="7">
        <v>99999</v>
      </c>
      <c r="I151" s="7" t="s">
        <v>30</v>
      </c>
      <c r="J151" s="7" t="s">
        <v>101</v>
      </c>
      <c r="K151" s="7" t="s">
        <v>45</v>
      </c>
      <c r="L151" s="8">
        <v>41802</v>
      </c>
      <c r="M151" s="7" t="s">
        <v>33</v>
      </c>
      <c r="N151" s="7" t="s">
        <v>102</v>
      </c>
      <c r="O151" s="7" t="s">
        <v>98</v>
      </c>
      <c r="P151" s="7" t="s">
        <v>99</v>
      </c>
      <c r="Q151" s="7" t="s">
        <v>100</v>
      </c>
      <c r="R151" s="7">
        <v>99999</v>
      </c>
      <c r="S151" s="7" t="s">
        <v>30</v>
      </c>
      <c r="T151" s="7" t="s">
        <v>48</v>
      </c>
      <c r="U151" s="7" t="s">
        <v>136</v>
      </c>
      <c r="V151" s="7" t="s">
        <v>39</v>
      </c>
      <c r="W151" s="9">
        <v>10</v>
      </c>
      <c r="X151" s="7">
        <v>74</v>
      </c>
      <c r="Y151" s="10">
        <v>740</v>
      </c>
      <c r="Z151" s="9">
        <v>71.78</v>
      </c>
    </row>
    <row r="152" spans="1:26" x14ac:dyDescent="0.35">
      <c r="A152" s="7">
        <v>1174</v>
      </c>
      <c r="B152" s="8">
        <v>41800</v>
      </c>
      <c r="C152" s="7">
        <v>10</v>
      </c>
      <c r="D152" s="7" t="s">
        <v>97</v>
      </c>
      <c r="E152" s="7" t="s">
        <v>98</v>
      </c>
      <c r="F152" s="7" t="s">
        <v>99</v>
      </c>
      <c r="G152" s="7" t="s">
        <v>100</v>
      </c>
      <c r="H152" s="7">
        <v>99999</v>
      </c>
      <c r="I152" s="7" t="s">
        <v>30</v>
      </c>
      <c r="J152" s="7" t="s">
        <v>101</v>
      </c>
      <c r="K152" s="7" t="s">
        <v>45</v>
      </c>
      <c r="L152" s="8"/>
      <c r="M152" s="7" t="s">
        <v>46</v>
      </c>
      <c r="N152" s="7" t="s">
        <v>102</v>
      </c>
      <c r="O152" s="7" t="s">
        <v>98</v>
      </c>
      <c r="P152" s="7" t="s">
        <v>99</v>
      </c>
      <c r="Q152" s="7" t="s">
        <v>100</v>
      </c>
      <c r="R152" s="7">
        <v>99999</v>
      </c>
      <c r="S152" s="7" t="s">
        <v>30</v>
      </c>
      <c r="U152" s="7" t="s">
        <v>38</v>
      </c>
      <c r="V152" s="7" t="s">
        <v>39</v>
      </c>
      <c r="W152" s="9">
        <v>3.5</v>
      </c>
      <c r="X152" s="7">
        <v>90</v>
      </c>
      <c r="Y152" s="10">
        <v>315</v>
      </c>
      <c r="Z152" s="9">
        <v>30.24</v>
      </c>
    </row>
    <row r="153" spans="1:26" x14ac:dyDescent="0.35">
      <c r="A153" s="7">
        <v>1175</v>
      </c>
      <c r="B153" s="8">
        <v>41801</v>
      </c>
      <c r="C153" s="7">
        <v>11</v>
      </c>
      <c r="D153" s="7" t="s">
        <v>113</v>
      </c>
      <c r="E153" s="7" t="s">
        <v>114</v>
      </c>
      <c r="F153" s="7" t="s">
        <v>115</v>
      </c>
      <c r="G153" s="7" t="s">
        <v>116</v>
      </c>
      <c r="H153" s="7">
        <v>99999</v>
      </c>
      <c r="I153" s="7" t="s">
        <v>30</v>
      </c>
      <c r="J153" s="7" t="s">
        <v>94</v>
      </c>
      <c r="K153" s="7" t="s">
        <v>95</v>
      </c>
      <c r="L153" s="8"/>
      <c r="M153" s="7" t="s">
        <v>62</v>
      </c>
      <c r="N153" s="7" t="s">
        <v>117</v>
      </c>
      <c r="O153" s="7" t="s">
        <v>114</v>
      </c>
      <c r="P153" s="7" t="s">
        <v>115</v>
      </c>
      <c r="Q153" s="7" t="s">
        <v>116</v>
      </c>
      <c r="R153" s="7">
        <v>99999</v>
      </c>
      <c r="S153" s="7" t="s">
        <v>30</v>
      </c>
      <c r="U153" s="7" t="s">
        <v>88</v>
      </c>
      <c r="V153" s="7" t="s">
        <v>89</v>
      </c>
      <c r="W153" s="9">
        <v>40</v>
      </c>
      <c r="X153" s="7">
        <v>27</v>
      </c>
      <c r="Y153" s="10">
        <v>1080</v>
      </c>
      <c r="Z153" s="9">
        <v>111.24000000000001</v>
      </c>
    </row>
    <row r="154" spans="1:26" x14ac:dyDescent="0.35">
      <c r="A154" s="7">
        <v>1176</v>
      </c>
      <c r="B154" s="8">
        <v>41791</v>
      </c>
      <c r="C154" s="7">
        <v>1</v>
      </c>
      <c r="D154" s="7" t="s">
        <v>118</v>
      </c>
      <c r="E154" s="7" t="s">
        <v>119</v>
      </c>
      <c r="F154" s="7" t="s">
        <v>120</v>
      </c>
      <c r="G154" s="7" t="s">
        <v>121</v>
      </c>
      <c r="H154" s="7">
        <v>99999</v>
      </c>
      <c r="I154" s="7" t="s">
        <v>30</v>
      </c>
      <c r="J154" s="7" t="s">
        <v>60</v>
      </c>
      <c r="K154" s="7" t="s">
        <v>61</v>
      </c>
      <c r="L154" s="8"/>
      <c r="M154" s="7" t="s">
        <v>62</v>
      </c>
      <c r="N154" s="7" t="s">
        <v>122</v>
      </c>
      <c r="O154" s="7" t="s">
        <v>119</v>
      </c>
      <c r="P154" s="7" t="s">
        <v>120</v>
      </c>
      <c r="Q154" s="7" t="s">
        <v>121</v>
      </c>
      <c r="R154" s="7">
        <v>99999</v>
      </c>
      <c r="S154" s="7" t="s">
        <v>30</v>
      </c>
      <c r="U154" s="7" t="s">
        <v>123</v>
      </c>
      <c r="V154" s="7" t="s">
        <v>124</v>
      </c>
      <c r="W154" s="9">
        <v>18.399999999999999</v>
      </c>
      <c r="X154" s="7">
        <v>71</v>
      </c>
      <c r="Y154" s="10">
        <v>1306.3999999999999</v>
      </c>
      <c r="Z154" s="9">
        <v>137.172</v>
      </c>
    </row>
    <row r="155" spans="1:26" x14ac:dyDescent="0.35">
      <c r="A155" s="7">
        <v>1177</v>
      </c>
      <c r="B155" s="8">
        <v>41818</v>
      </c>
      <c r="C155" s="7">
        <v>28</v>
      </c>
      <c r="D155" s="7" t="s">
        <v>90</v>
      </c>
      <c r="E155" s="7" t="s">
        <v>91</v>
      </c>
      <c r="F155" s="7" t="s">
        <v>92</v>
      </c>
      <c r="G155" s="7" t="s">
        <v>93</v>
      </c>
      <c r="H155" s="7">
        <v>99999</v>
      </c>
      <c r="I155" s="7" t="s">
        <v>30</v>
      </c>
      <c r="J155" s="7" t="s">
        <v>94</v>
      </c>
      <c r="K155" s="7" t="s">
        <v>95</v>
      </c>
      <c r="L155" s="8">
        <v>41820</v>
      </c>
      <c r="M155" s="7" t="s">
        <v>62</v>
      </c>
      <c r="N155" s="7" t="s">
        <v>96</v>
      </c>
      <c r="O155" s="7" t="s">
        <v>91</v>
      </c>
      <c r="P155" s="7" t="s">
        <v>92</v>
      </c>
      <c r="Q155" s="7" t="s">
        <v>93</v>
      </c>
      <c r="R155" s="7">
        <v>99999</v>
      </c>
      <c r="S155" s="7" t="s">
        <v>30</v>
      </c>
      <c r="T155" s="7" t="s">
        <v>48</v>
      </c>
      <c r="U155" s="7" t="s">
        <v>55</v>
      </c>
      <c r="V155" s="7" t="s">
        <v>37</v>
      </c>
      <c r="W155" s="9">
        <v>46</v>
      </c>
      <c r="X155" s="7">
        <v>74</v>
      </c>
      <c r="Y155" s="10">
        <v>3404</v>
      </c>
      <c r="Z155" s="9">
        <v>340.40000000000003</v>
      </c>
    </row>
    <row r="156" spans="1:26" x14ac:dyDescent="0.35">
      <c r="A156" s="7">
        <v>1178</v>
      </c>
      <c r="B156" s="8">
        <v>41799</v>
      </c>
      <c r="C156" s="7">
        <v>9</v>
      </c>
      <c r="D156" s="7" t="s">
        <v>125</v>
      </c>
      <c r="E156" s="7" t="s">
        <v>126</v>
      </c>
      <c r="F156" s="7" t="s">
        <v>127</v>
      </c>
      <c r="G156" s="7" t="s">
        <v>128</v>
      </c>
      <c r="H156" s="7">
        <v>99999</v>
      </c>
      <c r="I156" s="7" t="s">
        <v>30</v>
      </c>
      <c r="J156" s="7" t="s">
        <v>129</v>
      </c>
      <c r="K156" s="7" t="s">
        <v>32</v>
      </c>
      <c r="L156" s="8">
        <v>41801</v>
      </c>
      <c r="M156" s="7" t="s">
        <v>46</v>
      </c>
      <c r="N156" s="7" t="s">
        <v>130</v>
      </c>
      <c r="O156" s="7" t="s">
        <v>126</v>
      </c>
      <c r="P156" s="7" t="s">
        <v>127</v>
      </c>
      <c r="Q156" s="7" t="s">
        <v>128</v>
      </c>
      <c r="R156" s="7">
        <v>99999</v>
      </c>
      <c r="S156" s="7" t="s">
        <v>30</v>
      </c>
      <c r="T156" s="7" t="s">
        <v>35</v>
      </c>
      <c r="U156" s="7" t="s">
        <v>80</v>
      </c>
      <c r="V156" s="7" t="s">
        <v>81</v>
      </c>
      <c r="W156" s="9">
        <v>9.65</v>
      </c>
      <c r="X156" s="7">
        <v>76</v>
      </c>
      <c r="Y156" s="10">
        <v>733.4</v>
      </c>
      <c r="Z156" s="9">
        <v>72.6066</v>
      </c>
    </row>
    <row r="157" spans="1:26" x14ac:dyDescent="0.35">
      <c r="A157" s="7">
        <v>1179</v>
      </c>
      <c r="B157" s="8">
        <v>41796</v>
      </c>
      <c r="C157" s="7">
        <v>6</v>
      </c>
      <c r="D157" s="7" t="s">
        <v>82</v>
      </c>
      <c r="E157" s="7" t="s">
        <v>83</v>
      </c>
      <c r="F157" s="7" t="s">
        <v>84</v>
      </c>
      <c r="G157" s="7" t="s">
        <v>85</v>
      </c>
      <c r="H157" s="7">
        <v>99999</v>
      </c>
      <c r="I157" s="7" t="s">
        <v>30</v>
      </c>
      <c r="J157" s="7" t="s">
        <v>86</v>
      </c>
      <c r="K157" s="7" t="s">
        <v>61</v>
      </c>
      <c r="L157" s="8">
        <v>41798</v>
      </c>
      <c r="M157" s="7" t="s">
        <v>33</v>
      </c>
      <c r="N157" s="7" t="s">
        <v>87</v>
      </c>
      <c r="O157" s="7" t="s">
        <v>83</v>
      </c>
      <c r="P157" s="7" t="s">
        <v>84</v>
      </c>
      <c r="Q157" s="7" t="s">
        <v>85</v>
      </c>
      <c r="R157" s="7">
        <v>99999</v>
      </c>
      <c r="S157" s="7" t="s">
        <v>30</v>
      </c>
      <c r="T157" s="7" t="s">
        <v>48</v>
      </c>
      <c r="U157" s="7" t="s">
        <v>72</v>
      </c>
      <c r="V157" s="7" t="s">
        <v>73</v>
      </c>
      <c r="W157" s="9">
        <v>12.75</v>
      </c>
      <c r="X157" s="7">
        <v>96</v>
      </c>
      <c r="Y157" s="10">
        <v>1224</v>
      </c>
      <c r="Z157" s="9">
        <v>123.62400000000001</v>
      </c>
    </row>
    <row r="158" spans="1:26" x14ac:dyDescent="0.35">
      <c r="A158" s="7">
        <v>1180</v>
      </c>
      <c r="B158" s="8">
        <v>41798</v>
      </c>
      <c r="C158" s="7">
        <v>8</v>
      </c>
      <c r="D158" s="7" t="s">
        <v>56</v>
      </c>
      <c r="E158" s="7" t="s">
        <v>57</v>
      </c>
      <c r="F158" s="7" t="s">
        <v>58</v>
      </c>
      <c r="G158" s="7" t="s">
        <v>59</v>
      </c>
      <c r="H158" s="7">
        <v>99999</v>
      </c>
      <c r="I158" s="7" t="s">
        <v>30</v>
      </c>
      <c r="J158" s="7" t="s">
        <v>60</v>
      </c>
      <c r="K158" s="7" t="s">
        <v>61</v>
      </c>
      <c r="L158" s="8">
        <v>41800</v>
      </c>
      <c r="M158" s="7" t="s">
        <v>33</v>
      </c>
      <c r="N158" s="7" t="s">
        <v>63</v>
      </c>
      <c r="O158" s="7" t="s">
        <v>57</v>
      </c>
      <c r="P158" s="7" t="s">
        <v>58</v>
      </c>
      <c r="Q158" s="7" t="s">
        <v>59</v>
      </c>
      <c r="R158" s="7">
        <v>99999</v>
      </c>
      <c r="S158" s="7" t="s">
        <v>30</v>
      </c>
      <c r="T158" s="7" t="s">
        <v>35</v>
      </c>
      <c r="U158" s="7" t="s">
        <v>72</v>
      </c>
      <c r="V158" s="7" t="s">
        <v>73</v>
      </c>
      <c r="W158" s="9">
        <v>12.75</v>
      </c>
      <c r="X158" s="7">
        <v>92</v>
      </c>
      <c r="Y158" s="10">
        <v>1173</v>
      </c>
      <c r="Z158" s="9">
        <v>116.12700000000001</v>
      </c>
    </row>
    <row r="159" spans="1:26" x14ac:dyDescent="0.35">
      <c r="A159" s="7">
        <v>1181</v>
      </c>
      <c r="B159" s="8">
        <v>41815</v>
      </c>
      <c r="C159" s="7">
        <v>25</v>
      </c>
      <c r="D159" s="7" t="s">
        <v>137</v>
      </c>
      <c r="E159" s="7" t="s">
        <v>138</v>
      </c>
      <c r="F159" s="7" t="s">
        <v>99</v>
      </c>
      <c r="G159" s="7" t="s">
        <v>100</v>
      </c>
      <c r="H159" s="7">
        <v>99999</v>
      </c>
      <c r="I159" s="7" t="s">
        <v>30</v>
      </c>
      <c r="J159" s="7" t="s">
        <v>101</v>
      </c>
      <c r="K159" s="7" t="s">
        <v>45</v>
      </c>
      <c r="L159" s="8">
        <v>41817</v>
      </c>
      <c r="M159" s="7" t="s">
        <v>46</v>
      </c>
      <c r="N159" s="7" t="s">
        <v>139</v>
      </c>
      <c r="O159" s="7" t="s">
        <v>138</v>
      </c>
      <c r="P159" s="7" t="s">
        <v>99</v>
      </c>
      <c r="Q159" s="7" t="s">
        <v>100</v>
      </c>
      <c r="R159" s="7">
        <v>99999</v>
      </c>
      <c r="S159" s="7" t="s">
        <v>30</v>
      </c>
      <c r="T159" s="7" t="s">
        <v>79</v>
      </c>
      <c r="U159" s="7" t="s">
        <v>111</v>
      </c>
      <c r="V159" s="7" t="s">
        <v>112</v>
      </c>
      <c r="W159" s="9">
        <v>22</v>
      </c>
      <c r="X159" s="7">
        <v>93</v>
      </c>
      <c r="Y159" s="10">
        <v>2046</v>
      </c>
      <c r="Z159" s="9">
        <v>200.50800000000001</v>
      </c>
    </row>
    <row r="160" spans="1:26" x14ac:dyDescent="0.35">
      <c r="A160" s="7">
        <v>1182</v>
      </c>
      <c r="B160" s="8">
        <v>41816</v>
      </c>
      <c r="C160" s="7">
        <v>26</v>
      </c>
      <c r="D160" s="7" t="s">
        <v>140</v>
      </c>
      <c r="E160" s="7" t="s">
        <v>141</v>
      </c>
      <c r="F160" s="7" t="s">
        <v>115</v>
      </c>
      <c r="G160" s="7" t="s">
        <v>116</v>
      </c>
      <c r="H160" s="7">
        <v>99999</v>
      </c>
      <c r="I160" s="7" t="s">
        <v>30</v>
      </c>
      <c r="J160" s="7" t="s">
        <v>94</v>
      </c>
      <c r="K160" s="7" t="s">
        <v>95</v>
      </c>
      <c r="L160" s="8">
        <v>41818</v>
      </c>
      <c r="M160" s="7" t="s">
        <v>62</v>
      </c>
      <c r="N160" s="7" t="s">
        <v>142</v>
      </c>
      <c r="O160" s="7" t="s">
        <v>141</v>
      </c>
      <c r="P160" s="7" t="s">
        <v>115</v>
      </c>
      <c r="Q160" s="7" t="s">
        <v>116</v>
      </c>
      <c r="R160" s="7">
        <v>99999</v>
      </c>
      <c r="S160" s="7" t="s">
        <v>30</v>
      </c>
      <c r="T160" s="7" t="s">
        <v>48</v>
      </c>
      <c r="U160" s="7" t="s">
        <v>109</v>
      </c>
      <c r="V160" s="7" t="s">
        <v>110</v>
      </c>
      <c r="W160" s="9">
        <v>25</v>
      </c>
      <c r="X160" s="7">
        <v>18</v>
      </c>
      <c r="Y160" s="10">
        <v>450</v>
      </c>
      <c r="Z160" s="9">
        <v>42.75</v>
      </c>
    </row>
    <row r="161" spans="1:26" x14ac:dyDescent="0.35">
      <c r="A161" s="7">
        <v>1183</v>
      </c>
      <c r="B161" s="8">
        <v>41819</v>
      </c>
      <c r="C161" s="7">
        <v>29</v>
      </c>
      <c r="D161" s="7" t="s">
        <v>66</v>
      </c>
      <c r="E161" s="7" t="s">
        <v>67</v>
      </c>
      <c r="F161" s="7" t="s">
        <v>68</v>
      </c>
      <c r="G161" s="7" t="s">
        <v>69</v>
      </c>
      <c r="H161" s="7">
        <v>99999</v>
      </c>
      <c r="I161" s="7" t="s">
        <v>30</v>
      </c>
      <c r="J161" s="7" t="s">
        <v>70</v>
      </c>
      <c r="K161" s="7" t="s">
        <v>32</v>
      </c>
      <c r="L161" s="8">
        <v>41821</v>
      </c>
      <c r="M161" s="7" t="s">
        <v>33</v>
      </c>
      <c r="N161" s="7" t="s">
        <v>71</v>
      </c>
      <c r="O161" s="7" t="s">
        <v>67</v>
      </c>
      <c r="P161" s="7" t="s">
        <v>68</v>
      </c>
      <c r="Q161" s="7" t="s">
        <v>69</v>
      </c>
      <c r="R161" s="7">
        <v>99999</v>
      </c>
      <c r="S161" s="7" t="s">
        <v>30</v>
      </c>
      <c r="T161" s="7" t="s">
        <v>35</v>
      </c>
      <c r="U161" s="7" t="s">
        <v>143</v>
      </c>
      <c r="V161" s="7" t="s">
        <v>144</v>
      </c>
      <c r="W161" s="7">
        <v>39</v>
      </c>
      <c r="X161" s="7">
        <v>98</v>
      </c>
      <c r="Y161" s="10">
        <v>3822</v>
      </c>
      <c r="Z161" s="9">
        <v>397.48800000000006</v>
      </c>
    </row>
    <row r="162" spans="1:26" x14ac:dyDescent="0.35">
      <c r="A162" s="7">
        <v>1184</v>
      </c>
      <c r="B162" s="8">
        <v>41796</v>
      </c>
      <c r="C162" s="7">
        <v>6</v>
      </c>
      <c r="D162" s="7" t="s">
        <v>82</v>
      </c>
      <c r="E162" s="7" t="s">
        <v>83</v>
      </c>
      <c r="F162" s="7" t="s">
        <v>84</v>
      </c>
      <c r="G162" s="7" t="s">
        <v>85</v>
      </c>
      <c r="H162" s="7">
        <v>99999</v>
      </c>
      <c r="I162" s="7" t="s">
        <v>30</v>
      </c>
      <c r="J162" s="7" t="s">
        <v>86</v>
      </c>
      <c r="K162" s="7" t="s">
        <v>61</v>
      </c>
      <c r="L162" s="8">
        <v>41798</v>
      </c>
      <c r="M162" s="7" t="s">
        <v>62</v>
      </c>
      <c r="N162" s="7" t="s">
        <v>87</v>
      </c>
      <c r="O162" s="7" t="s">
        <v>83</v>
      </c>
      <c r="P162" s="7" t="s">
        <v>84</v>
      </c>
      <c r="Q162" s="7" t="s">
        <v>85</v>
      </c>
      <c r="R162" s="7">
        <v>99999</v>
      </c>
      <c r="S162" s="7" t="s">
        <v>30</v>
      </c>
      <c r="T162" s="7" t="s">
        <v>35</v>
      </c>
      <c r="U162" s="7" t="s">
        <v>49</v>
      </c>
      <c r="V162" s="7" t="s">
        <v>39</v>
      </c>
      <c r="W162" s="7">
        <v>30</v>
      </c>
      <c r="X162" s="7">
        <v>46</v>
      </c>
      <c r="Y162" s="10">
        <v>1380</v>
      </c>
      <c r="Z162" s="9">
        <v>135.24</v>
      </c>
    </row>
    <row r="163" spans="1:26" x14ac:dyDescent="0.35">
      <c r="A163" s="7">
        <v>1185</v>
      </c>
      <c r="B163" s="8">
        <v>41796</v>
      </c>
      <c r="C163" s="7">
        <v>6</v>
      </c>
      <c r="D163" s="7" t="s">
        <v>82</v>
      </c>
      <c r="E163" s="7" t="s">
        <v>83</v>
      </c>
      <c r="F163" s="7" t="s">
        <v>84</v>
      </c>
      <c r="G163" s="7" t="s">
        <v>85</v>
      </c>
      <c r="H163" s="7">
        <v>99999</v>
      </c>
      <c r="I163" s="7" t="s">
        <v>30</v>
      </c>
      <c r="J163" s="7" t="s">
        <v>86</v>
      </c>
      <c r="K163" s="7" t="s">
        <v>61</v>
      </c>
      <c r="L163" s="8">
        <v>41798</v>
      </c>
      <c r="M163" s="7" t="s">
        <v>62</v>
      </c>
      <c r="N163" s="7" t="s">
        <v>87</v>
      </c>
      <c r="O163" s="7" t="s">
        <v>83</v>
      </c>
      <c r="P163" s="7" t="s">
        <v>84</v>
      </c>
      <c r="Q163" s="7" t="s">
        <v>85</v>
      </c>
      <c r="R163" s="7">
        <v>99999</v>
      </c>
      <c r="S163" s="7" t="s">
        <v>30</v>
      </c>
      <c r="T163" s="7" t="s">
        <v>35</v>
      </c>
      <c r="U163" s="7" t="s">
        <v>50</v>
      </c>
      <c r="V163" s="7" t="s">
        <v>39</v>
      </c>
      <c r="W163" s="7">
        <v>53</v>
      </c>
      <c r="X163" s="7">
        <v>14</v>
      </c>
      <c r="Y163" s="10">
        <v>742</v>
      </c>
      <c r="Z163" s="9">
        <v>74.2</v>
      </c>
    </row>
    <row r="164" spans="1:26" x14ac:dyDescent="0.35">
      <c r="A164" s="7">
        <v>1186</v>
      </c>
      <c r="B164" s="8">
        <v>41794</v>
      </c>
      <c r="C164" s="7">
        <v>4</v>
      </c>
      <c r="D164" s="7" t="s">
        <v>40</v>
      </c>
      <c r="E164" s="7" t="s">
        <v>41</v>
      </c>
      <c r="F164" s="7" t="s">
        <v>42</v>
      </c>
      <c r="G164" s="7" t="s">
        <v>43</v>
      </c>
      <c r="H164" s="7">
        <v>99999</v>
      </c>
      <c r="I164" s="7" t="s">
        <v>30</v>
      </c>
      <c r="J164" s="7" t="s">
        <v>44</v>
      </c>
      <c r="K164" s="7" t="s">
        <v>45</v>
      </c>
      <c r="L164" s="8"/>
      <c r="N164" s="7" t="s">
        <v>47</v>
      </c>
      <c r="O164" s="7" t="s">
        <v>41</v>
      </c>
      <c r="P164" s="7" t="s">
        <v>42</v>
      </c>
      <c r="Q164" s="7" t="s">
        <v>43</v>
      </c>
      <c r="R164" s="7">
        <v>99999</v>
      </c>
      <c r="S164" s="7" t="s">
        <v>30</v>
      </c>
      <c r="U164" s="7" t="s">
        <v>145</v>
      </c>
      <c r="V164" s="7" t="s">
        <v>132</v>
      </c>
      <c r="W164" s="7">
        <v>38</v>
      </c>
      <c r="X164" s="7">
        <v>85</v>
      </c>
      <c r="Y164" s="10">
        <v>3230</v>
      </c>
      <c r="Z164" s="9">
        <v>319.77</v>
      </c>
    </row>
    <row r="165" spans="1:26" x14ac:dyDescent="0.35">
      <c r="A165" s="7">
        <v>1187</v>
      </c>
      <c r="B165" s="8">
        <v>41793</v>
      </c>
      <c r="C165" s="7">
        <v>3</v>
      </c>
      <c r="D165" s="7" t="s">
        <v>74</v>
      </c>
      <c r="E165" s="7" t="s">
        <v>75</v>
      </c>
      <c r="F165" s="7" t="s">
        <v>76</v>
      </c>
      <c r="G165" s="7" t="s">
        <v>77</v>
      </c>
      <c r="H165" s="7">
        <v>99999</v>
      </c>
      <c r="I165" s="7" t="s">
        <v>30</v>
      </c>
      <c r="J165" s="7" t="s">
        <v>31</v>
      </c>
      <c r="K165" s="7" t="s">
        <v>32</v>
      </c>
      <c r="L165" s="8"/>
      <c r="N165" s="7" t="s">
        <v>78</v>
      </c>
      <c r="O165" s="7" t="s">
        <v>75</v>
      </c>
      <c r="P165" s="7" t="s">
        <v>76</v>
      </c>
      <c r="Q165" s="7" t="s">
        <v>77</v>
      </c>
      <c r="R165" s="7">
        <v>99999</v>
      </c>
      <c r="S165" s="7" t="s">
        <v>30</v>
      </c>
      <c r="U165" s="7" t="s">
        <v>103</v>
      </c>
      <c r="V165" s="7" t="s">
        <v>37</v>
      </c>
      <c r="W165" s="7">
        <v>2.99</v>
      </c>
      <c r="X165" s="7">
        <v>88</v>
      </c>
      <c r="Y165" s="10">
        <v>263.12</v>
      </c>
      <c r="Z165" s="9">
        <v>25.522639999999999</v>
      </c>
    </row>
    <row r="166" spans="1:26" x14ac:dyDescent="0.35">
      <c r="A166" s="7">
        <v>1188</v>
      </c>
      <c r="B166" s="8">
        <v>41821</v>
      </c>
      <c r="C166" s="7">
        <v>1</v>
      </c>
      <c r="D166" s="7" t="s">
        <v>118</v>
      </c>
      <c r="E166" s="7" t="s">
        <v>119</v>
      </c>
      <c r="F166" s="7" t="s">
        <v>120</v>
      </c>
      <c r="G166" s="7" t="s">
        <v>121</v>
      </c>
      <c r="H166" s="7">
        <v>99999</v>
      </c>
      <c r="I166" s="7" t="s">
        <v>30</v>
      </c>
      <c r="J166" s="7" t="s">
        <v>60</v>
      </c>
      <c r="K166" s="7" t="s">
        <v>61</v>
      </c>
      <c r="L166" s="8"/>
      <c r="N166" s="7" t="s">
        <v>122</v>
      </c>
      <c r="O166" s="7" t="s">
        <v>119</v>
      </c>
      <c r="P166" s="7" t="s">
        <v>120</v>
      </c>
      <c r="Q166" s="7" t="s">
        <v>121</v>
      </c>
      <c r="R166" s="7">
        <v>99999</v>
      </c>
      <c r="S166" s="7" t="s">
        <v>30</v>
      </c>
      <c r="U166" s="7" t="s">
        <v>103</v>
      </c>
      <c r="V166" s="7" t="s">
        <v>37</v>
      </c>
      <c r="W166" s="7">
        <v>2.99</v>
      </c>
      <c r="X166" s="7">
        <v>81</v>
      </c>
      <c r="Y166" s="10">
        <v>242.19000000000003</v>
      </c>
      <c r="Z166" s="9">
        <v>23.976810000000004</v>
      </c>
    </row>
    <row r="167" spans="1:26" x14ac:dyDescent="0.35">
      <c r="A167" s="7">
        <v>1189</v>
      </c>
      <c r="B167" s="8">
        <v>41848</v>
      </c>
      <c r="C167" s="7">
        <v>28</v>
      </c>
      <c r="D167" s="7" t="s">
        <v>90</v>
      </c>
      <c r="E167" s="7" t="s">
        <v>91</v>
      </c>
      <c r="F167" s="7" t="s">
        <v>92</v>
      </c>
      <c r="G167" s="7" t="s">
        <v>93</v>
      </c>
      <c r="H167" s="7">
        <v>99999</v>
      </c>
      <c r="I167" s="7" t="s">
        <v>30</v>
      </c>
      <c r="J167" s="7" t="s">
        <v>94</v>
      </c>
      <c r="K167" s="7" t="s">
        <v>95</v>
      </c>
      <c r="L167" s="8">
        <v>41850</v>
      </c>
      <c r="M167" s="7" t="s">
        <v>62</v>
      </c>
      <c r="N167" s="7" t="s">
        <v>96</v>
      </c>
      <c r="O167" s="7" t="s">
        <v>91</v>
      </c>
      <c r="P167" s="7" t="s">
        <v>92</v>
      </c>
      <c r="Q167" s="7" t="s">
        <v>93</v>
      </c>
      <c r="R167" s="7">
        <v>99999</v>
      </c>
      <c r="S167" s="7" t="s">
        <v>30</v>
      </c>
      <c r="T167" s="7" t="s">
        <v>48</v>
      </c>
      <c r="U167" s="7" t="s">
        <v>80</v>
      </c>
      <c r="V167" s="7" t="s">
        <v>81</v>
      </c>
      <c r="W167" s="7">
        <v>9.65</v>
      </c>
      <c r="X167" s="7">
        <v>33</v>
      </c>
      <c r="Y167" s="10">
        <v>318.45</v>
      </c>
      <c r="Z167" s="9">
        <v>30.252749999999999</v>
      </c>
    </row>
    <row r="168" spans="1:26" x14ac:dyDescent="0.35">
      <c r="A168" s="7">
        <v>1190</v>
      </c>
      <c r="B168" s="8">
        <v>41848</v>
      </c>
      <c r="C168" s="7">
        <v>28</v>
      </c>
      <c r="D168" s="7" t="s">
        <v>90</v>
      </c>
      <c r="E168" s="7" t="s">
        <v>91</v>
      </c>
      <c r="F168" s="7" t="s">
        <v>92</v>
      </c>
      <c r="G168" s="7" t="s">
        <v>93</v>
      </c>
      <c r="H168" s="7">
        <v>99999</v>
      </c>
      <c r="I168" s="7" t="s">
        <v>30</v>
      </c>
      <c r="J168" s="7" t="s">
        <v>94</v>
      </c>
      <c r="K168" s="7" t="s">
        <v>95</v>
      </c>
      <c r="L168" s="8">
        <v>41850</v>
      </c>
      <c r="M168" s="7" t="s">
        <v>62</v>
      </c>
      <c r="N168" s="7" t="s">
        <v>96</v>
      </c>
      <c r="O168" s="7" t="s">
        <v>91</v>
      </c>
      <c r="P168" s="7" t="s">
        <v>92</v>
      </c>
      <c r="Q168" s="7" t="s">
        <v>93</v>
      </c>
      <c r="R168" s="7">
        <v>99999</v>
      </c>
      <c r="S168" s="7" t="s">
        <v>30</v>
      </c>
      <c r="T168" s="7" t="s">
        <v>48</v>
      </c>
      <c r="U168" s="7" t="s">
        <v>123</v>
      </c>
      <c r="V168" s="7" t="s">
        <v>124</v>
      </c>
      <c r="W168" s="7">
        <v>18.399999999999999</v>
      </c>
      <c r="X168" s="7">
        <v>47</v>
      </c>
      <c r="Y168" s="10">
        <v>864.8</v>
      </c>
      <c r="Z168" s="9">
        <v>90.804000000000002</v>
      </c>
    </row>
    <row r="169" spans="1:26" x14ac:dyDescent="0.35">
      <c r="A169" s="7">
        <v>1191</v>
      </c>
      <c r="B169" s="8">
        <v>41829</v>
      </c>
      <c r="C169" s="7">
        <v>9</v>
      </c>
      <c r="D169" s="7" t="s">
        <v>125</v>
      </c>
      <c r="E169" s="7" t="s">
        <v>126</v>
      </c>
      <c r="F169" s="7" t="s">
        <v>127</v>
      </c>
      <c r="G169" s="7" t="s">
        <v>128</v>
      </c>
      <c r="H169" s="7">
        <v>99999</v>
      </c>
      <c r="I169" s="7" t="s">
        <v>30</v>
      </c>
      <c r="J169" s="7" t="s">
        <v>129</v>
      </c>
      <c r="K169" s="7" t="s">
        <v>32</v>
      </c>
      <c r="L169" s="8">
        <v>41831</v>
      </c>
      <c r="M169" s="7" t="s">
        <v>46</v>
      </c>
      <c r="N169" s="7" t="s">
        <v>130</v>
      </c>
      <c r="O169" s="7" t="s">
        <v>126</v>
      </c>
      <c r="P169" s="7" t="s">
        <v>127</v>
      </c>
      <c r="Q169" s="7" t="s">
        <v>128</v>
      </c>
      <c r="R169" s="7">
        <v>99999</v>
      </c>
      <c r="S169" s="7" t="s">
        <v>30</v>
      </c>
      <c r="T169" s="7" t="s">
        <v>35</v>
      </c>
      <c r="U169" s="7" t="s">
        <v>131</v>
      </c>
      <c r="V169" s="7" t="s">
        <v>132</v>
      </c>
      <c r="W169" s="7">
        <v>19.5</v>
      </c>
      <c r="X169" s="7">
        <v>61</v>
      </c>
      <c r="Y169" s="10">
        <v>1189.5</v>
      </c>
      <c r="Z169" s="9">
        <v>123.70800000000001</v>
      </c>
    </row>
    <row r="170" spans="1:26" x14ac:dyDescent="0.35">
      <c r="A170" s="7">
        <v>1192</v>
      </c>
      <c r="B170" s="8">
        <v>41829</v>
      </c>
      <c r="C170" s="7">
        <v>9</v>
      </c>
      <c r="D170" s="7" t="s">
        <v>125</v>
      </c>
      <c r="E170" s="7" t="s">
        <v>126</v>
      </c>
      <c r="F170" s="7" t="s">
        <v>127</v>
      </c>
      <c r="G170" s="7" t="s">
        <v>128</v>
      </c>
      <c r="H170" s="7">
        <v>99999</v>
      </c>
      <c r="I170" s="7" t="s">
        <v>30</v>
      </c>
      <c r="J170" s="7" t="s">
        <v>129</v>
      </c>
      <c r="K170" s="7" t="s">
        <v>32</v>
      </c>
      <c r="L170" s="8">
        <v>41831</v>
      </c>
      <c r="M170" s="7" t="s">
        <v>46</v>
      </c>
      <c r="N170" s="7" t="s">
        <v>130</v>
      </c>
      <c r="O170" s="7" t="s">
        <v>126</v>
      </c>
      <c r="P170" s="7" t="s">
        <v>127</v>
      </c>
      <c r="Q170" s="7" t="s">
        <v>128</v>
      </c>
      <c r="R170" s="7">
        <v>99999</v>
      </c>
      <c r="S170" s="7" t="s">
        <v>30</v>
      </c>
      <c r="T170" s="7" t="s">
        <v>35</v>
      </c>
      <c r="U170" s="7" t="s">
        <v>133</v>
      </c>
      <c r="V170" s="7" t="s">
        <v>134</v>
      </c>
      <c r="W170" s="7">
        <v>34.799999999999997</v>
      </c>
      <c r="X170" s="7">
        <v>27</v>
      </c>
      <c r="Y170" s="10">
        <v>939.59999999999991</v>
      </c>
      <c r="Z170" s="9">
        <v>95.839199999999991</v>
      </c>
    </row>
    <row r="171" spans="1:26" x14ac:dyDescent="0.35">
      <c r="A171" s="7">
        <v>1193</v>
      </c>
      <c r="B171" s="8">
        <v>41826</v>
      </c>
      <c r="C171" s="7">
        <v>6</v>
      </c>
      <c r="D171" s="7" t="s">
        <v>82</v>
      </c>
      <c r="E171" s="7" t="s">
        <v>83</v>
      </c>
      <c r="F171" s="7" t="s">
        <v>84</v>
      </c>
      <c r="G171" s="7" t="s">
        <v>85</v>
      </c>
      <c r="H171" s="7">
        <v>99999</v>
      </c>
      <c r="I171" s="7" t="s">
        <v>30</v>
      </c>
      <c r="J171" s="7" t="s">
        <v>86</v>
      </c>
      <c r="K171" s="7" t="s">
        <v>61</v>
      </c>
      <c r="L171" s="8">
        <v>41828</v>
      </c>
      <c r="M171" s="7" t="s">
        <v>33</v>
      </c>
      <c r="N171" s="7" t="s">
        <v>87</v>
      </c>
      <c r="O171" s="7" t="s">
        <v>83</v>
      </c>
      <c r="P171" s="7" t="s">
        <v>84</v>
      </c>
      <c r="Q171" s="7" t="s">
        <v>85</v>
      </c>
      <c r="R171" s="7">
        <v>99999</v>
      </c>
      <c r="S171" s="7" t="s">
        <v>30</v>
      </c>
      <c r="T171" s="7" t="s">
        <v>48</v>
      </c>
      <c r="U171" s="7" t="s">
        <v>36</v>
      </c>
      <c r="V171" s="7" t="s">
        <v>37</v>
      </c>
      <c r="W171" s="7">
        <v>14</v>
      </c>
      <c r="X171" s="7">
        <v>84</v>
      </c>
      <c r="Y171" s="10">
        <v>1176</v>
      </c>
      <c r="Z171" s="9">
        <v>118.77600000000001</v>
      </c>
    </row>
    <row r="172" spans="1:26" x14ac:dyDescent="0.35">
      <c r="A172" s="7">
        <v>1194</v>
      </c>
      <c r="B172" s="8">
        <v>41828</v>
      </c>
      <c r="C172" s="7">
        <v>8</v>
      </c>
      <c r="D172" s="7" t="s">
        <v>56</v>
      </c>
      <c r="E172" s="7" t="s">
        <v>57</v>
      </c>
      <c r="F172" s="7" t="s">
        <v>58</v>
      </c>
      <c r="G172" s="7" t="s">
        <v>59</v>
      </c>
      <c r="H172" s="7">
        <v>99999</v>
      </c>
      <c r="I172" s="7" t="s">
        <v>30</v>
      </c>
      <c r="J172" s="7" t="s">
        <v>60</v>
      </c>
      <c r="K172" s="7" t="s">
        <v>61</v>
      </c>
      <c r="L172" s="8">
        <v>41830</v>
      </c>
      <c r="M172" s="7" t="s">
        <v>33</v>
      </c>
      <c r="N172" s="7" t="s">
        <v>63</v>
      </c>
      <c r="O172" s="7" t="s">
        <v>57</v>
      </c>
      <c r="P172" s="7" t="s">
        <v>58</v>
      </c>
      <c r="Q172" s="7" t="s">
        <v>59</v>
      </c>
      <c r="R172" s="7">
        <v>99999</v>
      </c>
      <c r="S172" s="7" t="s">
        <v>30</v>
      </c>
      <c r="T172" s="7" t="s">
        <v>35</v>
      </c>
      <c r="U172" s="7" t="s">
        <v>88</v>
      </c>
      <c r="V172" s="7" t="s">
        <v>89</v>
      </c>
      <c r="W172" s="7">
        <v>40</v>
      </c>
      <c r="X172" s="7">
        <v>91</v>
      </c>
      <c r="Y172" s="10">
        <v>3640</v>
      </c>
      <c r="Z172" s="9">
        <v>360.36</v>
      </c>
    </row>
    <row r="173" spans="1:26" x14ac:dyDescent="0.35">
      <c r="A173" s="7">
        <v>1195</v>
      </c>
      <c r="B173" s="8">
        <v>41828</v>
      </c>
      <c r="C173" s="7">
        <v>8</v>
      </c>
      <c r="D173" s="7" t="s">
        <v>56</v>
      </c>
      <c r="E173" s="7" t="s">
        <v>57</v>
      </c>
      <c r="F173" s="7" t="s">
        <v>58</v>
      </c>
      <c r="G173" s="7" t="s">
        <v>59</v>
      </c>
      <c r="H173" s="7">
        <v>99999</v>
      </c>
      <c r="I173" s="7" t="s">
        <v>30</v>
      </c>
      <c r="J173" s="7" t="s">
        <v>60</v>
      </c>
      <c r="K173" s="7" t="s">
        <v>61</v>
      </c>
      <c r="L173" s="8">
        <v>41830</v>
      </c>
      <c r="M173" s="7" t="s">
        <v>33</v>
      </c>
      <c r="N173" s="7" t="s">
        <v>63</v>
      </c>
      <c r="O173" s="7" t="s">
        <v>57</v>
      </c>
      <c r="P173" s="7" t="s">
        <v>58</v>
      </c>
      <c r="Q173" s="7" t="s">
        <v>59</v>
      </c>
      <c r="R173" s="7">
        <v>99999</v>
      </c>
      <c r="S173" s="7" t="s">
        <v>30</v>
      </c>
      <c r="T173" s="7" t="s">
        <v>35</v>
      </c>
      <c r="U173" s="7" t="s">
        <v>64</v>
      </c>
      <c r="V173" s="7" t="s">
        <v>65</v>
      </c>
      <c r="W173" s="7">
        <v>9.1999999999999993</v>
      </c>
      <c r="X173" s="7">
        <v>36</v>
      </c>
      <c r="Y173" s="10">
        <v>331.2</v>
      </c>
      <c r="Z173" s="9">
        <v>34.444800000000001</v>
      </c>
    </row>
    <row r="174" spans="1:26" x14ac:dyDescent="0.35">
      <c r="A174" s="7">
        <v>1196</v>
      </c>
      <c r="B174" s="8">
        <v>41845</v>
      </c>
      <c r="C174" s="7">
        <v>25</v>
      </c>
      <c r="D174" s="7" t="s">
        <v>137</v>
      </c>
      <c r="E174" s="7" t="s">
        <v>138</v>
      </c>
      <c r="F174" s="7" t="s">
        <v>99</v>
      </c>
      <c r="G174" s="7" t="s">
        <v>100</v>
      </c>
      <c r="H174" s="7">
        <v>99999</v>
      </c>
      <c r="I174" s="7" t="s">
        <v>30</v>
      </c>
      <c r="J174" s="7" t="s">
        <v>101</v>
      </c>
      <c r="K174" s="7" t="s">
        <v>45</v>
      </c>
      <c r="L174" s="7">
        <v>41847</v>
      </c>
      <c r="M174" s="7" t="s">
        <v>46</v>
      </c>
      <c r="N174" s="7" t="s">
        <v>139</v>
      </c>
      <c r="O174" s="7" t="s">
        <v>138</v>
      </c>
      <c r="P174" s="7" t="s">
        <v>99</v>
      </c>
      <c r="Q174" s="7" t="s">
        <v>100</v>
      </c>
      <c r="R174" s="7">
        <v>99999</v>
      </c>
      <c r="S174" s="7" t="s">
        <v>30</v>
      </c>
      <c r="T174" s="7" t="s">
        <v>79</v>
      </c>
      <c r="U174" s="7" t="s">
        <v>146</v>
      </c>
      <c r="V174" s="7" t="s">
        <v>65</v>
      </c>
      <c r="W174" s="7">
        <v>10</v>
      </c>
      <c r="X174" s="7">
        <v>34</v>
      </c>
      <c r="Y174" s="10">
        <v>340</v>
      </c>
      <c r="Z174" s="9">
        <v>34.340000000000003</v>
      </c>
    </row>
    <row r="175" spans="1:26" x14ac:dyDescent="0.35">
      <c r="A175" s="7">
        <v>1197</v>
      </c>
      <c r="B175" s="8">
        <v>41846</v>
      </c>
      <c r="C175" s="7">
        <v>26</v>
      </c>
      <c r="D175" s="7" t="s">
        <v>140</v>
      </c>
      <c r="E175" s="7" t="s">
        <v>141</v>
      </c>
      <c r="F175" s="7" t="s">
        <v>115</v>
      </c>
      <c r="G175" s="7" t="s">
        <v>116</v>
      </c>
      <c r="H175" s="7">
        <v>99999</v>
      </c>
      <c r="I175" s="7" t="s">
        <v>30</v>
      </c>
      <c r="J175" s="7" t="s">
        <v>94</v>
      </c>
      <c r="K175" s="7" t="s">
        <v>95</v>
      </c>
      <c r="L175" s="7">
        <v>41848</v>
      </c>
      <c r="M175" s="7" t="s">
        <v>62</v>
      </c>
      <c r="N175" s="7" t="s">
        <v>142</v>
      </c>
      <c r="O175" s="7" t="s">
        <v>141</v>
      </c>
      <c r="P175" s="7" t="s">
        <v>115</v>
      </c>
      <c r="Q175" s="7" t="s">
        <v>116</v>
      </c>
      <c r="R175" s="7">
        <v>99999</v>
      </c>
      <c r="S175" s="7" t="s">
        <v>30</v>
      </c>
      <c r="T175" s="7" t="s">
        <v>48</v>
      </c>
      <c r="U175" s="7" t="s">
        <v>147</v>
      </c>
      <c r="V175" s="7" t="s">
        <v>148</v>
      </c>
      <c r="W175" s="7">
        <v>21.35</v>
      </c>
      <c r="X175" s="7">
        <v>81</v>
      </c>
      <c r="Y175" s="10">
        <v>1729.3500000000001</v>
      </c>
      <c r="Z175" s="9">
        <v>178.12305000000003</v>
      </c>
    </row>
    <row r="176" spans="1:26" x14ac:dyDescent="0.35">
      <c r="A176" s="7">
        <v>1198</v>
      </c>
      <c r="B176" s="8">
        <v>41846</v>
      </c>
      <c r="C176" s="7">
        <v>26</v>
      </c>
      <c r="D176" s="7" t="s">
        <v>140</v>
      </c>
      <c r="E176" s="7" t="s">
        <v>141</v>
      </c>
      <c r="F176" s="7" t="s">
        <v>115</v>
      </c>
      <c r="G176" s="7" t="s">
        <v>116</v>
      </c>
      <c r="H176" s="7">
        <v>99999</v>
      </c>
      <c r="I176" s="7" t="s">
        <v>30</v>
      </c>
      <c r="J176" s="7" t="s">
        <v>94</v>
      </c>
      <c r="K176" s="7" t="s">
        <v>95</v>
      </c>
      <c r="L176" s="7">
        <v>41848</v>
      </c>
      <c r="M176" s="7" t="s">
        <v>62</v>
      </c>
      <c r="N176" s="7" t="s">
        <v>142</v>
      </c>
      <c r="O176" s="7" t="s">
        <v>141</v>
      </c>
      <c r="P176" s="7" t="s">
        <v>115</v>
      </c>
      <c r="Q176" s="7" t="s">
        <v>116</v>
      </c>
      <c r="R176" s="7">
        <v>99999</v>
      </c>
      <c r="S176" s="7" t="s">
        <v>30</v>
      </c>
      <c r="T176" s="7" t="s">
        <v>48</v>
      </c>
      <c r="U176" s="7" t="s">
        <v>80</v>
      </c>
      <c r="V176" s="7" t="s">
        <v>81</v>
      </c>
      <c r="W176" s="7">
        <v>9.65</v>
      </c>
      <c r="X176" s="7">
        <v>25</v>
      </c>
      <c r="Y176" s="10">
        <v>241.25</v>
      </c>
      <c r="Z176" s="9">
        <v>23.401250000000001</v>
      </c>
    </row>
    <row r="177" spans="1:26" x14ac:dyDescent="0.35">
      <c r="A177" s="7">
        <v>1199</v>
      </c>
      <c r="B177" s="8">
        <v>41846</v>
      </c>
      <c r="C177" s="7">
        <v>26</v>
      </c>
      <c r="D177" s="7" t="s">
        <v>140</v>
      </c>
      <c r="E177" s="7" t="s">
        <v>141</v>
      </c>
      <c r="F177" s="7" t="s">
        <v>115</v>
      </c>
      <c r="G177" s="7" t="s">
        <v>116</v>
      </c>
      <c r="H177" s="7">
        <v>99999</v>
      </c>
      <c r="I177" s="7" t="s">
        <v>30</v>
      </c>
      <c r="J177" s="7" t="s">
        <v>94</v>
      </c>
      <c r="K177" s="7" t="s">
        <v>95</v>
      </c>
      <c r="L177" s="7">
        <v>41848</v>
      </c>
      <c r="M177" s="7" t="s">
        <v>62</v>
      </c>
      <c r="N177" s="7" t="s">
        <v>142</v>
      </c>
      <c r="O177" s="7" t="s">
        <v>141</v>
      </c>
      <c r="P177" s="7" t="s">
        <v>115</v>
      </c>
      <c r="Q177" s="7" t="s">
        <v>116</v>
      </c>
      <c r="R177" s="7">
        <v>99999</v>
      </c>
      <c r="S177" s="7" t="s">
        <v>30</v>
      </c>
      <c r="T177" s="7" t="s">
        <v>48</v>
      </c>
      <c r="U177" s="7" t="s">
        <v>123</v>
      </c>
      <c r="V177" s="7" t="s">
        <v>124</v>
      </c>
      <c r="W177" s="7">
        <v>18.399999999999999</v>
      </c>
      <c r="X177" s="7">
        <v>12</v>
      </c>
      <c r="Y177" s="10">
        <v>220.79999999999998</v>
      </c>
      <c r="Z177" s="9">
        <v>22.08</v>
      </c>
    </row>
    <row r="178" spans="1:26" x14ac:dyDescent="0.35">
      <c r="A178" s="7">
        <v>1200</v>
      </c>
      <c r="B178" s="8">
        <v>41849</v>
      </c>
      <c r="C178" s="7">
        <v>29</v>
      </c>
      <c r="D178" s="7" t="s">
        <v>66</v>
      </c>
      <c r="E178" s="7" t="s">
        <v>67</v>
      </c>
      <c r="F178" s="7" t="s">
        <v>68</v>
      </c>
      <c r="G178" s="7" t="s">
        <v>69</v>
      </c>
      <c r="H178" s="7">
        <v>99999</v>
      </c>
      <c r="I178" s="7" t="s">
        <v>30</v>
      </c>
      <c r="J178" s="7" t="s">
        <v>70</v>
      </c>
      <c r="K178" s="7" t="s">
        <v>32</v>
      </c>
      <c r="L178" s="8">
        <v>41851</v>
      </c>
      <c r="M178" s="7" t="s">
        <v>33</v>
      </c>
      <c r="N178" s="7" t="s">
        <v>71</v>
      </c>
      <c r="O178" s="7" t="s">
        <v>67</v>
      </c>
      <c r="P178" s="7" t="s">
        <v>68</v>
      </c>
      <c r="Q178" s="7" t="s">
        <v>69</v>
      </c>
      <c r="R178" s="7">
        <v>99999</v>
      </c>
      <c r="S178" s="7" t="s">
        <v>30</v>
      </c>
      <c r="T178" s="7" t="s">
        <v>35</v>
      </c>
      <c r="U178" s="7" t="s">
        <v>36</v>
      </c>
      <c r="V178" s="7" t="s">
        <v>37</v>
      </c>
      <c r="W178" s="7">
        <v>14</v>
      </c>
      <c r="X178" s="7">
        <v>23</v>
      </c>
      <c r="Y178" s="10">
        <v>322</v>
      </c>
      <c r="Z178" s="9">
        <v>30.912000000000003</v>
      </c>
    </row>
    <row r="179" spans="1:26" x14ac:dyDescent="0.35">
      <c r="A179" s="7">
        <v>1201</v>
      </c>
      <c r="B179" s="8">
        <v>41826</v>
      </c>
      <c r="C179" s="7">
        <v>6</v>
      </c>
      <c r="D179" s="7" t="s">
        <v>82</v>
      </c>
      <c r="E179" s="7" t="s">
        <v>83</v>
      </c>
      <c r="F179" s="7" t="s">
        <v>84</v>
      </c>
      <c r="G179" s="7" t="s">
        <v>85</v>
      </c>
      <c r="H179" s="7">
        <v>99999</v>
      </c>
      <c r="I179" s="7" t="s">
        <v>30</v>
      </c>
      <c r="J179" s="7" t="s">
        <v>86</v>
      </c>
      <c r="K179" s="7" t="s">
        <v>61</v>
      </c>
      <c r="L179" s="8">
        <v>41828</v>
      </c>
      <c r="M179" s="7" t="s">
        <v>62</v>
      </c>
      <c r="N179" s="7" t="s">
        <v>87</v>
      </c>
      <c r="O179" s="7" t="s">
        <v>83</v>
      </c>
      <c r="P179" s="7" t="s">
        <v>84</v>
      </c>
      <c r="Q179" s="7" t="s">
        <v>85</v>
      </c>
      <c r="R179" s="7">
        <v>99999</v>
      </c>
      <c r="S179" s="7" t="s">
        <v>30</v>
      </c>
      <c r="T179" s="7" t="s">
        <v>35</v>
      </c>
      <c r="U179" s="7" t="s">
        <v>72</v>
      </c>
      <c r="V179" s="7" t="s">
        <v>73</v>
      </c>
      <c r="W179" s="7">
        <v>12.75</v>
      </c>
      <c r="X179" s="7">
        <v>76</v>
      </c>
      <c r="Y179" s="10">
        <v>969</v>
      </c>
      <c r="Z179" s="9">
        <v>97.869</v>
      </c>
    </row>
    <row r="180" spans="1:26" x14ac:dyDescent="0.35">
      <c r="A180" s="7">
        <v>1203</v>
      </c>
      <c r="B180" s="8">
        <v>41824</v>
      </c>
      <c r="C180" s="7">
        <v>4</v>
      </c>
      <c r="D180" s="7" t="s">
        <v>40</v>
      </c>
      <c r="E180" s="7" t="s">
        <v>41</v>
      </c>
      <c r="F180" s="7" t="s">
        <v>42</v>
      </c>
      <c r="G180" s="7" t="s">
        <v>43</v>
      </c>
      <c r="H180" s="7">
        <v>99999</v>
      </c>
      <c r="I180" s="7" t="s">
        <v>30</v>
      </c>
      <c r="J180" s="7" t="s">
        <v>44</v>
      </c>
      <c r="K180" s="7" t="s">
        <v>45</v>
      </c>
      <c r="L180" s="8">
        <v>41826</v>
      </c>
      <c r="M180" s="7" t="s">
        <v>46</v>
      </c>
      <c r="N180" s="7" t="s">
        <v>47</v>
      </c>
      <c r="O180" s="7" t="s">
        <v>41</v>
      </c>
      <c r="P180" s="7" t="s">
        <v>42</v>
      </c>
      <c r="Q180" s="7" t="s">
        <v>43</v>
      </c>
      <c r="R180" s="7">
        <v>99999</v>
      </c>
      <c r="S180" s="7" t="s">
        <v>30</v>
      </c>
      <c r="T180" s="7" t="s">
        <v>48</v>
      </c>
      <c r="U180" s="7" t="s">
        <v>149</v>
      </c>
      <c r="V180" s="7" t="s">
        <v>110</v>
      </c>
      <c r="W180" s="7">
        <v>81</v>
      </c>
      <c r="X180" s="7">
        <v>55</v>
      </c>
      <c r="Y180" s="10">
        <v>4455</v>
      </c>
      <c r="Z180" s="9">
        <v>445.5</v>
      </c>
    </row>
    <row r="181" spans="1:26" x14ac:dyDescent="0.35">
      <c r="A181" s="7">
        <v>1204</v>
      </c>
      <c r="B181" s="8">
        <v>41824</v>
      </c>
      <c r="C181" s="7">
        <v>4</v>
      </c>
      <c r="D181" s="7" t="s">
        <v>40</v>
      </c>
      <c r="E181" s="7" t="s">
        <v>41</v>
      </c>
      <c r="F181" s="7" t="s">
        <v>42</v>
      </c>
      <c r="G181" s="7" t="s">
        <v>43</v>
      </c>
      <c r="H181" s="7">
        <v>99999</v>
      </c>
      <c r="I181" s="7" t="s">
        <v>30</v>
      </c>
      <c r="J181" s="7" t="s">
        <v>44</v>
      </c>
      <c r="K181" s="7" t="s">
        <v>45</v>
      </c>
      <c r="L181" s="8">
        <v>41826</v>
      </c>
      <c r="M181" s="7" t="s">
        <v>46</v>
      </c>
      <c r="N181" s="7" t="s">
        <v>47</v>
      </c>
      <c r="O181" s="7" t="s">
        <v>41</v>
      </c>
      <c r="P181" s="7" t="s">
        <v>42</v>
      </c>
      <c r="Q181" s="7" t="s">
        <v>43</v>
      </c>
      <c r="R181" s="7">
        <v>99999</v>
      </c>
      <c r="S181" s="7" t="s">
        <v>30</v>
      </c>
      <c r="T181" s="7" t="s">
        <v>48</v>
      </c>
      <c r="U181" s="7" t="s">
        <v>150</v>
      </c>
      <c r="V181" s="7" t="s">
        <v>151</v>
      </c>
      <c r="W181" s="7">
        <v>7</v>
      </c>
      <c r="X181" s="7">
        <v>19</v>
      </c>
      <c r="Y181" s="10">
        <v>133</v>
      </c>
      <c r="Z181" s="9">
        <v>12.901</v>
      </c>
    </row>
    <row r="182" spans="1:26" x14ac:dyDescent="0.35">
      <c r="A182" s="7">
        <v>1206</v>
      </c>
      <c r="B182" s="8">
        <v>41828</v>
      </c>
      <c r="C182" s="7">
        <v>8</v>
      </c>
      <c r="D182" s="7" t="s">
        <v>56</v>
      </c>
      <c r="E182" s="7" t="s">
        <v>57</v>
      </c>
      <c r="F182" s="7" t="s">
        <v>58</v>
      </c>
      <c r="G182" s="7" t="s">
        <v>59</v>
      </c>
      <c r="H182" s="7">
        <v>99999</v>
      </c>
      <c r="I182" s="7" t="s">
        <v>30</v>
      </c>
      <c r="J182" s="7" t="s">
        <v>60</v>
      </c>
      <c r="K182" s="7" t="s">
        <v>61</v>
      </c>
      <c r="L182" s="8">
        <v>41830</v>
      </c>
      <c r="M182" s="7" t="s">
        <v>62</v>
      </c>
      <c r="N182" s="7" t="s">
        <v>63</v>
      </c>
      <c r="O182" s="7" t="s">
        <v>57</v>
      </c>
      <c r="P182" s="7" t="s">
        <v>58</v>
      </c>
      <c r="Q182" s="7" t="s">
        <v>59</v>
      </c>
      <c r="R182" s="7">
        <v>99999</v>
      </c>
      <c r="S182" s="7" t="s">
        <v>30</v>
      </c>
      <c r="T182" s="7" t="s">
        <v>48</v>
      </c>
      <c r="U182" s="7" t="s">
        <v>133</v>
      </c>
      <c r="V182" s="7" t="s">
        <v>134</v>
      </c>
      <c r="W182" s="7">
        <v>34.799999999999997</v>
      </c>
      <c r="X182" s="7">
        <v>27</v>
      </c>
      <c r="Y182" s="10">
        <v>939.59999999999991</v>
      </c>
      <c r="Z182" s="9">
        <v>89.261999999999986</v>
      </c>
    </row>
    <row r="183" spans="1:26" x14ac:dyDescent="0.35">
      <c r="A183" s="7">
        <v>1209</v>
      </c>
      <c r="B183" s="8">
        <v>41823</v>
      </c>
      <c r="C183" s="7">
        <v>3</v>
      </c>
      <c r="D183" s="7" t="s">
        <v>74</v>
      </c>
      <c r="E183" s="7" t="s">
        <v>75</v>
      </c>
      <c r="F183" s="7" t="s">
        <v>76</v>
      </c>
      <c r="G183" s="7" t="s">
        <v>77</v>
      </c>
      <c r="H183" s="7">
        <v>99999</v>
      </c>
      <c r="I183" s="7" t="s">
        <v>30</v>
      </c>
      <c r="J183" s="7" t="s">
        <v>31</v>
      </c>
      <c r="K183" s="7" t="s">
        <v>32</v>
      </c>
      <c r="L183" s="8">
        <v>41825</v>
      </c>
      <c r="M183" s="7" t="s">
        <v>33</v>
      </c>
      <c r="N183" s="7" t="s">
        <v>78</v>
      </c>
      <c r="O183" s="7" t="s">
        <v>75</v>
      </c>
      <c r="P183" s="7" t="s">
        <v>76</v>
      </c>
      <c r="Q183" s="7" t="s">
        <v>77</v>
      </c>
      <c r="R183" s="7">
        <v>99999</v>
      </c>
      <c r="S183" s="7" t="s">
        <v>30</v>
      </c>
      <c r="T183" s="7" t="s">
        <v>79</v>
      </c>
      <c r="U183" s="7" t="s">
        <v>135</v>
      </c>
      <c r="V183" s="7" t="s">
        <v>112</v>
      </c>
      <c r="W183" s="7">
        <v>10</v>
      </c>
      <c r="X183" s="7">
        <v>99</v>
      </c>
      <c r="Y183" s="10">
        <v>990</v>
      </c>
      <c r="Z183" s="9">
        <v>95.039999999999992</v>
      </c>
    </row>
    <row r="184" spans="1:26" x14ac:dyDescent="0.35">
      <c r="A184" s="7">
        <v>1210</v>
      </c>
      <c r="B184" s="8">
        <v>41823</v>
      </c>
      <c r="C184" s="7">
        <v>3</v>
      </c>
      <c r="D184" s="7" t="s">
        <v>74</v>
      </c>
      <c r="E184" s="7" t="s">
        <v>75</v>
      </c>
      <c r="F184" s="7" t="s">
        <v>76</v>
      </c>
      <c r="G184" s="7" t="s">
        <v>77</v>
      </c>
      <c r="H184" s="7">
        <v>99999</v>
      </c>
      <c r="I184" s="7" t="s">
        <v>30</v>
      </c>
      <c r="J184" s="7" t="s">
        <v>31</v>
      </c>
      <c r="K184" s="7" t="s">
        <v>32</v>
      </c>
      <c r="L184" s="8">
        <v>41825</v>
      </c>
      <c r="M184" s="7" t="s">
        <v>33</v>
      </c>
      <c r="N184" s="7" t="s">
        <v>78</v>
      </c>
      <c r="O184" s="7" t="s">
        <v>75</v>
      </c>
      <c r="P184" s="7" t="s">
        <v>76</v>
      </c>
      <c r="Q184" s="7" t="s">
        <v>77</v>
      </c>
      <c r="R184" s="7">
        <v>99999</v>
      </c>
      <c r="S184" s="7" t="s">
        <v>30</v>
      </c>
      <c r="T184" s="7" t="s">
        <v>79</v>
      </c>
      <c r="U184" s="7" t="s">
        <v>88</v>
      </c>
      <c r="V184" s="7" t="s">
        <v>89</v>
      </c>
      <c r="W184" s="7">
        <v>40</v>
      </c>
      <c r="X184" s="7">
        <v>10</v>
      </c>
      <c r="Y184" s="10">
        <v>400</v>
      </c>
      <c r="Z184" s="9">
        <v>40</v>
      </c>
    </row>
    <row r="185" spans="1:26" x14ac:dyDescent="0.35">
      <c r="A185" s="7">
        <v>1214</v>
      </c>
      <c r="B185" s="8">
        <v>41830</v>
      </c>
      <c r="C185" s="7">
        <v>10</v>
      </c>
      <c r="D185" s="7" t="s">
        <v>97</v>
      </c>
      <c r="E185" s="7" t="s">
        <v>98</v>
      </c>
      <c r="F185" s="7" t="s">
        <v>99</v>
      </c>
      <c r="G185" s="7" t="s">
        <v>100</v>
      </c>
      <c r="H185" s="7">
        <v>99999</v>
      </c>
      <c r="I185" s="7" t="s">
        <v>30</v>
      </c>
      <c r="J185" s="7" t="s">
        <v>101</v>
      </c>
      <c r="K185" s="7" t="s">
        <v>45</v>
      </c>
      <c r="L185" s="8">
        <v>41832</v>
      </c>
      <c r="M185" s="7" t="s">
        <v>33</v>
      </c>
      <c r="N185" s="7" t="s">
        <v>102</v>
      </c>
      <c r="O185" s="7" t="s">
        <v>98</v>
      </c>
      <c r="P185" s="7" t="s">
        <v>99</v>
      </c>
      <c r="Q185" s="7" t="s">
        <v>100</v>
      </c>
      <c r="R185" s="7">
        <v>99999</v>
      </c>
      <c r="S185" s="7" t="s">
        <v>30</v>
      </c>
      <c r="T185" s="7" t="s">
        <v>48</v>
      </c>
      <c r="U185" s="7" t="s">
        <v>136</v>
      </c>
      <c r="V185" s="7" t="s">
        <v>39</v>
      </c>
      <c r="W185" s="7">
        <v>10</v>
      </c>
      <c r="X185" s="7">
        <v>80</v>
      </c>
      <c r="Y185" s="10">
        <v>800</v>
      </c>
      <c r="Z185" s="9">
        <v>77.599999999999994</v>
      </c>
    </row>
    <row r="186" spans="1:26" x14ac:dyDescent="0.35">
      <c r="A186" s="7">
        <v>1216</v>
      </c>
      <c r="B186" s="8">
        <v>41830</v>
      </c>
      <c r="C186" s="7">
        <v>10</v>
      </c>
      <c r="D186" s="7" t="s">
        <v>97</v>
      </c>
      <c r="E186" s="7" t="s">
        <v>98</v>
      </c>
      <c r="F186" s="7" t="s">
        <v>99</v>
      </c>
      <c r="G186" s="7" t="s">
        <v>100</v>
      </c>
      <c r="H186" s="7">
        <v>99999</v>
      </c>
      <c r="I186" s="7" t="s">
        <v>30</v>
      </c>
      <c r="J186" s="7" t="s">
        <v>101</v>
      </c>
      <c r="K186" s="7" t="s">
        <v>45</v>
      </c>
      <c r="L186" s="8"/>
      <c r="M186" s="7" t="s">
        <v>46</v>
      </c>
      <c r="N186" s="7" t="s">
        <v>102</v>
      </c>
      <c r="O186" s="7" t="s">
        <v>98</v>
      </c>
      <c r="P186" s="7" t="s">
        <v>99</v>
      </c>
      <c r="Q186" s="7" t="s">
        <v>100</v>
      </c>
      <c r="R186" s="7">
        <v>99999</v>
      </c>
      <c r="S186" s="7" t="s">
        <v>30</v>
      </c>
      <c r="U186" s="7" t="s">
        <v>38</v>
      </c>
      <c r="V186" s="7" t="s">
        <v>39</v>
      </c>
      <c r="W186" s="7">
        <v>3.5</v>
      </c>
      <c r="X186" s="7">
        <v>27</v>
      </c>
      <c r="Y186" s="10">
        <v>94.5</v>
      </c>
      <c r="Z186" s="9">
        <v>9.072000000000001</v>
      </c>
    </row>
    <row r="187" spans="1:26" x14ac:dyDescent="0.35">
      <c r="A187" s="7">
        <v>1217</v>
      </c>
      <c r="B187" s="8">
        <v>41831</v>
      </c>
      <c r="C187" s="7">
        <v>11</v>
      </c>
      <c r="D187" s="7" t="s">
        <v>113</v>
      </c>
      <c r="E187" s="7" t="s">
        <v>114</v>
      </c>
      <c r="F187" s="7" t="s">
        <v>115</v>
      </c>
      <c r="G187" s="7" t="s">
        <v>116</v>
      </c>
      <c r="H187" s="7">
        <v>99999</v>
      </c>
      <c r="I187" s="7" t="s">
        <v>30</v>
      </c>
      <c r="J187" s="7" t="s">
        <v>94</v>
      </c>
      <c r="K187" s="7" t="s">
        <v>95</v>
      </c>
      <c r="M187" s="7" t="s">
        <v>62</v>
      </c>
      <c r="N187" s="7" t="s">
        <v>117</v>
      </c>
      <c r="O187" s="7" t="s">
        <v>114</v>
      </c>
      <c r="P187" s="7" t="s">
        <v>115</v>
      </c>
      <c r="Q187" s="7" t="s">
        <v>116</v>
      </c>
      <c r="R187" s="7">
        <v>99999</v>
      </c>
      <c r="S187" s="7" t="s">
        <v>30</v>
      </c>
      <c r="U187" s="7" t="s">
        <v>88</v>
      </c>
      <c r="V187" s="7" t="s">
        <v>89</v>
      </c>
      <c r="W187" s="7">
        <v>40</v>
      </c>
      <c r="X187" s="7">
        <v>97</v>
      </c>
      <c r="Y187" s="10">
        <v>3880</v>
      </c>
      <c r="Z187" s="9">
        <v>380.24</v>
      </c>
    </row>
    <row r="188" spans="1:26" x14ac:dyDescent="0.35">
      <c r="A188" s="7">
        <v>1218</v>
      </c>
      <c r="B188" s="8">
        <v>41821</v>
      </c>
      <c r="C188" s="7">
        <v>1</v>
      </c>
      <c r="D188" s="7" t="s">
        <v>118</v>
      </c>
      <c r="E188" s="7" t="s">
        <v>119</v>
      </c>
      <c r="F188" s="7" t="s">
        <v>120</v>
      </c>
      <c r="G188" s="7" t="s">
        <v>121</v>
      </c>
      <c r="H188" s="7">
        <v>99999</v>
      </c>
      <c r="I188" s="7" t="s">
        <v>30</v>
      </c>
      <c r="J188" s="7" t="s">
        <v>60</v>
      </c>
      <c r="K188" s="7" t="s">
        <v>61</v>
      </c>
      <c r="M188" s="7" t="s">
        <v>62</v>
      </c>
      <c r="N188" s="7" t="s">
        <v>122</v>
      </c>
      <c r="O188" s="7" t="s">
        <v>119</v>
      </c>
      <c r="P188" s="7" t="s">
        <v>120</v>
      </c>
      <c r="Q188" s="7" t="s">
        <v>121</v>
      </c>
      <c r="R188" s="7">
        <v>99999</v>
      </c>
      <c r="S188" s="7" t="s">
        <v>30</v>
      </c>
      <c r="U188" s="7" t="s">
        <v>123</v>
      </c>
      <c r="V188" s="7" t="s">
        <v>124</v>
      </c>
      <c r="W188" s="7">
        <v>18.399999999999999</v>
      </c>
      <c r="X188" s="7">
        <v>42</v>
      </c>
      <c r="Y188" s="10">
        <v>772.8</v>
      </c>
      <c r="Z188" s="9">
        <v>80.371200000000002</v>
      </c>
    </row>
    <row r="189" spans="1:26" x14ac:dyDescent="0.35">
      <c r="A189" s="7">
        <v>1219</v>
      </c>
      <c r="B189" s="8">
        <v>41848</v>
      </c>
      <c r="C189" s="7">
        <v>28</v>
      </c>
      <c r="D189" s="7" t="s">
        <v>90</v>
      </c>
      <c r="E189" s="7" t="s">
        <v>91</v>
      </c>
      <c r="F189" s="7" t="s">
        <v>92</v>
      </c>
      <c r="G189" s="7" t="s">
        <v>93</v>
      </c>
      <c r="H189" s="7">
        <v>99999</v>
      </c>
      <c r="I189" s="7" t="s">
        <v>30</v>
      </c>
      <c r="J189" s="7" t="s">
        <v>94</v>
      </c>
      <c r="K189" s="7" t="s">
        <v>95</v>
      </c>
      <c r="L189" s="7">
        <v>41850</v>
      </c>
      <c r="M189" s="7" t="s">
        <v>62</v>
      </c>
      <c r="N189" s="7" t="s">
        <v>96</v>
      </c>
      <c r="O189" s="7" t="s">
        <v>91</v>
      </c>
      <c r="P189" s="7" t="s">
        <v>92</v>
      </c>
      <c r="Q189" s="7" t="s">
        <v>93</v>
      </c>
      <c r="R189" s="7">
        <v>99999</v>
      </c>
      <c r="S189" s="7" t="s">
        <v>30</v>
      </c>
      <c r="T189" s="7" t="s">
        <v>48</v>
      </c>
      <c r="U189" s="7" t="s">
        <v>55</v>
      </c>
      <c r="V189" s="7" t="s">
        <v>37</v>
      </c>
      <c r="W189" s="9">
        <v>46</v>
      </c>
      <c r="X189" s="7">
        <v>24</v>
      </c>
      <c r="Y189" s="10">
        <v>1104</v>
      </c>
      <c r="Z189" s="9">
        <v>105.98399999999999</v>
      </c>
    </row>
    <row r="190" spans="1:26" x14ac:dyDescent="0.35">
      <c r="A190" s="7">
        <v>1220</v>
      </c>
      <c r="B190" s="8">
        <v>41829</v>
      </c>
      <c r="C190" s="7">
        <v>9</v>
      </c>
      <c r="D190" s="7" t="s">
        <v>125</v>
      </c>
      <c r="E190" s="7" t="s">
        <v>126</v>
      </c>
      <c r="F190" s="7" t="s">
        <v>127</v>
      </c>
      <c r="G190" s="7" t="s">
        <v>128</v>
      </c>
      <c r="H190" s="7">
        <v>99999</v>
      </c>
      <c r="I190" s="7" t="s">
        <v>30</v>
      </c>
      <c r="J190" s="7" t="s">
        <v>129</v>
      </c>
      <c r="K190" s="7" t="s">
        <v>32</v>
      </c>
      <c r="L190" s="8">
        <v>41831</v>
      </c>
      <c r="M190" s="7" t="s">
        <v>46</v>
      </c>
      <c r="N190" s="7" t="s">
        <v>130</v>
      </c>
      <c r="O190" s="7" t="s">
        <v>126</v>
      </c>
      <c r="P190" s="7" t="s">
        <v>127</v>
      </c>
      <c r="Q190" s="7" t="s">
        <v>128</v>
      </c>
      <c r="R190" s="7">
        <v>99999</v>
      </c>
      <c r="S190" s="7" t="s">
        <v>30</v>
      </c>
      <c r="T190" s="7" t="s">
        <v>35</v>
      </c>
      <c r="U190" s="7" t="s">
        <v>80</v>
      </c>
      <c r="V190" s="7" t="s">
        <v>81</v>
      </c>
      <c r="W190" s="9">
        <v>9.65</v>
      </c>
      <c r="X190" s="7">
        <v>90</v>
      </c>
      <c r="Y190" s="10">
        <v>868.5</v>
      </c>
      <c r="Z190" s="9">
        <v>83.376000000000005</v>
      </c>
    </row>
    <row r="191" spans="1:26" x14ac:dyDescent="0.35">
      <c r="A191" s="7">
        <v>1221</v>
      </c>
      <c r="B191" s="8">
        <v>41826</v>
      </c>
      <c r="C191" s="7">
        <v>6</v>
      </c>
      <c r="D191" s="7" t="s">
        <v>82</v>
      </c>
      <c r="E191" s="7" t="s">
        <v>83</v>
      </c>
      <c r="F191" s="7" t="s">
        <v>84</v>
      </c>
      <c r="G191" s="7" t="s">
        <v>85</v>
      </c>
      <c r="H191" s="7">
        <v>99999</v>
      </c>
      <c r="I191" s="7" t="s">
        <v>30</v>
      </c>
      <c r="J191" s="7" t="s">
        <v>86</v>
      </c>
      <c r="K191" s="7" t="s">
        <v>61</v>
      </c>
      <c r="L191" s="8">
        <v>41828</v>
      </c>
      <c r="M191" s="7" t="s">
        <v>33</v>
      </c>
      <c r="N191" s="7" t="s">
        <v>87</v>
      </c>
      <c r="O191" s="7" t="s">
        <v>83</v>
      </c>
      <c r="P191" s="7" t="s">
        <v>84</v>
      </c>
      <c r="Q191" s="7" t="s">
        <v>85</v>
      </c>
      <c r="R191" s="7">
        <v>99999</v>
      </c>
      <c r="S191" s="7" t="s">
        <v>30</v>
      </c>
      <c r="T191" s="7" t="s">
        <v>48</v>
      </c>
      <c r="U191" s="7" t="s">
        <v>72</v>
      </c>
      <c r="V191" s="7" t="s">
        <v>73</v>
      </c>
      <c r="W191" s="9">
        <v>12.75</v>
      </c>
      <c r="X191" s="7">
        <v>28</v>
      </c>
      <c r="Y191" s="10">
        <v>357</v>
      </c>
      <c r="Z191" s="9">
        <v>35.700000000000003</v>
      </c>
    </row>
    <row r="192" spans="1:26" x14ac:dyDescent="0.35">
      <c r="A192" s="7">
        <v>1222</v>
      </c>
      <c r="B192" s="8">
        <v>41879</v>
      </c>
      <c r="C192" s="7">
        <v>28</v>
      </c>
      <c r="D192" s="7" t="s">
        <v>90</v>
      </c>
      <c r="E192" s="7" t="s">
        <v>91</v>
      </c>
      <c r="F192" s="7" t="s">
        <v>92</v>
      </c>
      <c r="G192" s="7" t="s">
        <v>93</v>
      </c>
      <c r="H192" s="7">
        <v>99999</v>
      </c>
      <c r="I192" s="7" t="s">
        <v>30</v>
      </c>
      <c r="J192" s="7" t="s">
        <v>94</v>
      </c>
      <c r="K192" s="7" t="s">
        <v>95</v>
      </c>
      <c r="L192" s="8">
        <v>41881</v>
      </c>
      <c r="M192" s="7" t="s">
        <v>62</v>
      </c>
      <c r="N192" s="7" t="s">
        <v>96</v>
      </c>
      <c r="O192" s="7" t="s">
        <v>91</v>
      </c>
      <c r="P192" s="7" t="s">
        <v>92</v>
      </c>
      <c r="Q192" s="7" t="s">
        <v>93</v>
      </c>
      <c r="R192" s="7">
        <v>99999</v>
      </c>
      <c r="S192" s="7" t="s">
        <v>30</v>
      </c>
      <c r="T192" s="7" t="s">
        <v>35</v>
      </c>
      <c r="U192" s="7" t="s">
        <v>55</v>
      </c>
      <c r="V192" s="7" t="s">
        <v>37</v>
      </c>
      <c r="W192" s="9">
        <v>46</v>
      </c>
      <c r="X192" s="7">
        <v>28</v>
      </c>
      <c r="Y192" s="10">
        <v>1288</v>
      </c>
      <c r="Z192" s="9">
        <v>133.95200000000003</v>
      </c>
    </row>
    <row r="193" spans="1:26" x14ac:dyDescent="0.35">
      <c r="A193" s="7">
        <v>1223</v>
      </c>
      <c r="B193" s="8">
        <v>41859</v>
      </c>
      <c r="C193" s="7">
        <v>8</v>
      </c>
      <c r="D193" s="7" t="s">
        <v>56</v>
      </c>
      <c r="E193" s="7" t="s">
        <v>57</v>
      </c>
      <c r="F193" s="7" t="s">
        <v>58</v>
      </c>
      <c r="G193" s="7" t="s">
        <v>59</v>
      </c>
      <c r="H193" s="7">
        <v>99999</v>
      </c>
      <c r="I193" s="7" t="s">
        <v>30</v>
      </c>
      <c r="J193" s="7" t="s">
        <v>60</v>
      </c>
      <c r="K193" s="7" t="s">
        <v>61</v>
      </c>
      <c r="L193" s="8">
        <v>41861</v>
      </c>
      <c r="M193" s="7" t="s">
        <v>62</v>
      </c>
      <c r="N193" s="7" t="s">
        <v>63</v>
      </c>
      <c r="O193" s="7" t="s">
        <v>57</v>
      </c>
      <c r="P193" s="7" t="s">
        <v>58</v>
      </c>
      <c r="Q193" s="7" t="s">
        <v>59</v>
      </c>
      <c r="R193" s="7">
        <v>99999</v>
      </c>
      <c r="S193" s="7" t="s">
        <v>30</v>
      </c>
      <c r="T193" s="7" t="s">
        <v>35</v>
      </c>
      <c r="U193" s="7" t="s">
        <v>72</v>
      </c>
      <c r="V193" s="7" t="s">
        <v>73</v>
      </c>
      <c r="W193" s="9">
        <v>12.75</v>
      </c>
      <c r="X193" s="7">
        <v>57</v>
      </c>
      <c r="Y193" s="10">
        <v>726.75</v>
      </c>
      <c r="Z193" s="9">
        <v>69.768000000000001</v>
      </c>
    </row>
    <row r="194" spans="1:26" x14ac:dyDescent="0.35">
      <c r="A194" s="7">
        <v>1224</v>
      </c>
      <c r="B194" s="8">
        <v>41861</v>
      </c>
      <c r="C194" s="7">
        <v>10</v>
      </c>
      <c r="D194" s="7" t="s">
        <v>97</v>
      </c>
      <c r="E194" s="7" t="s">
        <v>98</v>
      </c>
      <c r="F194" s="7" t="s">
        <v>99</v>
      </c>
      <c r="G194" s="7" t="s">
        <v>100</v>
      </c>
      <c r="H194" s="7">
        <v>99999</v>
      </c>
      <c r="I194" s="7" t="s">
        <v>30</v>
      </c>
      <c r="J194" s="7" t="s">
        <v>101</v>
      </c>
      <c r="K194" s="7" t="s">
        <v>45</v>
      </c>
      <c r="L194" s="8">
        <v>41863</v>
      </c>
      <c r="M194" s="7" t="s">
        <v>33</v>
      </c>
      <c r="N194" s="7" t="s">
        <v>102</v>
      </c>
      <c r="O194" s="7" t="s">
        <v>98</v>
      </c>
      <c r="P194" s="7" t="s">
        <v>99</v>
      </c>
      <c r="Q194" s="7" t="s">
        <v>100</v>
      </c>
      <c r="R194" s="7">
        <v>99999</v>
      </c>
      <c r="S194" s="7" t="s">
        <v>30</v>
      </c>
      <c r="T194" s="7" t="s">
        <v>48</v>
      </c>
      <c r="U194" s="7" t="s">
        <v>103</v>
      </c>
      <c r="V194" s="7" t="s">
        <v>37</v>
      </c>
      <c r="W194" s="9">
        <v>2.99</v>
      </c>
      <c r="X194" s="7">
        <v>23</v>
      </c>
      <c r="Y194" s="10">
        <v>68.77000000000001</v>
      </c>
      <c r="Z194" s="9">
        <v>6.6706900000000013</v>
      </c>
    </row>
    <row r="195" spans="1:26" x14ac:dyDescent="0.35">
      <c r="A195" s="7">
        <v>1225</v>
      </c>
      <c r="B195" s="8">
        <v>41858</v>
      </c>
      <c r="C195" s="7">
        <v>7</v>
      </c>
      <c r="D195" s="7" t="s">
        <v>104</v>
      </c>
      <c r="E195" s="7" t="s">
        <v>105</v>
      </c>
      <c r="F195" s="7" t="s">
        <v>106</v>
      </c>
      <c r="G195" s="7" t="s">
        <v>107</v>
      </c>
      <c r="H195" s="7">
        <v>99999</v>
      </c>
      <c r="I195" s="7" t="s">
        <v>30</v>
      </c>
      <c r="J195" s="7" t="s">
        <v>60</v>
      </c>
      <c r="K195" s="7" t="s">
        <v>61</v>
      </c>
      <c r="L195" s="8"/>
      <c r="N195" s="7" t="s">
        <v>108</v>
      </c>
      <c r="O195" s="7" t="s">
        <v>105</v>
      </c>
      <c r="P195" s="7" t="s">
        <v>106</v>
      </c>
      <c r="Q195" s="7" t="s">
        <v>107</v>
      </c>
      <c r="R195" s="7">
        <v>99999</v>
      </c>
      <c r="S195" s="7" t="s">
        <v>30</v>
      </c>
      <c r="U195" s="7" t="s">
        <v>55</v>
      </c>
      <c r="V195" s="7" t="s">
        <v>37</v>
      </c>
      <c r="W195" s="9">
        <v>46</v>
      </c>
      <c r="X195" s="7">
        <v>86</v>
      </c>
      <c r="Y195" s="10">
        <v>3956</v>
      </c>
      <c r="Z195" s="9">
        <v>399.55600000000004</v>
      </c>
    </row>
    <row r="196" spans="1:26" x14ac:dyDescent="0.35">
      <c r="A196" s="7">
        <v>1226</v>
      </c>
      <c r="B196" s="8">
        <v>41861</v>
      </c>
      <c r="C196" s="7">
        <v>10</v>
      </c>
      <c r="D196" s="7" t="s">
        <v>97</v>
      </c>
      <c r="E196" s="7" t="s">
        <v>98</v>
      </c>
      <c r="F196" s="7" t="s">
        <v>99</v>
      </c>
      <c r="G196" s="7" t="s">
        <v>100</v>
      </c>
      <c r="H196" s="7">
        <v>99999</v>
      </c>
      <c r="I196" s="7" t="s">
        <v>30</v>
      </c>
      <c r="J196" s="7" t="s">
        <v>101</v>
      </c>
      <c r="K196" s="7" t="s">
        <v>45</v>
      </c>
      <c r="L196" s="8">
        <v>41863</v>
      </c>
      <c r="M196" s="7" t="s">
        <v>46</v>
      </c>
      <c r="N196" s="7" t="s">
        <v>102</v>
      </c>
      <c r="O196" s="7" t="s">
        <v>98</v>
      </c>
      <c r="P196" s="7" t="s">
        <v>99</v>
      </c>
      <c r="Q196" s="7" t="s">
        <v>100</v>
      </c>
      <c r="R196" s="7">
        <v>99999</v>
      </c>
      <c r="S196" s="7" t="s">
        <v>30</v>
      </c>
      <c r="U196" s="7" t="s">
        <v>109</v>
      </c>
      <c r="V196" s="7" t="s">
        <v>110</v>
      </c>
      <c r="W196" s="9">
        <v>25</v>
      </c>
      <c r="X196" s="7">
        <v>47</v>
      </c>
      <c r="Y196" s="10">
        <v>1175</v>
      </c>
      <c r="Z196" s="9">
        <v>116.325</v>
      </c>
    </row>
    <row r="197" spans="1:26" x14ac:dyDescent="0.35">
      <c r="A197" s="7">
        <v>1227</v>
      </c>
      <c r="B197" s="8">
        <v>41861</v>
      </c>
      <c r="C197" s="7">
        <v>10</v>
      </c>
      <c r="D197" s="7" t="s">
        <v>97</v>
      </c>
      <c r="E197" s="7" t="s">
        <v>98</v>
      </c>
      <c r="F197" s="7" t="s">
        <v>99</v>
      </c>
      <c r="G197" s="7" t="s">
        <v>100</v>
      </c>
      <c r="H197" s="7">
        <v>99999</v>
      </c>
      <c r="I197" s="7" t="s">
        <v>30</v>
      </c>
      <c r="J197" s="7" t="s">
        <v>101</v>
      </c>
      <c r="K197" s="7" t="s">
        <v>45</v>
      </c>
      <c r="L197" s="8">
        <v>41863</v>
      </c>
      <c r="M197" s="7" t="s">
        <v>46</v>
      </c>
      <c r="N197" s="7" t="s">
        <v>102</v>
      </c>
      <c r="O197" s="7" t="s">
        <v>98</v>
      </c>
      <c r="P197" s="7" t="s">
        <v>99</v>
      </c>
      <c r="Q197" s="7" t="s">
        <v>100</v>
      </c>
      <c r="R197" s="7">
        <v>99999</v>
      </c>
      <c r="S197" s="7" t="s">
        <v>30</v>
      </c>
      <c r="U197" s="7" t="s">
        <v>111</v>
      </c>
      <c r="V197" s="7" t="s">
        <v>112</v>
      </c>
      <c r="W197" s="9">
        <v>22</v>
      </c>
      <c r="X197" s="7">
        <v>97</v>
      </c>
      <c r="Y197" s="10">
        <v>2134</v>
      </c>
      <c r="Z197" s="9">
        <v>221.93600000000001</v>
      </c>
    </row>
    <row r="198" spans="1:26" x14ac:dyDescent="0.35">
      <c r="A198" s="7">
        <v>1228</v>
      </c>
      <c r="B198" s="8">
        <v>41861</v>
      </c>
      <c r="C198" s="7">
        <v>10</v>
      </c>
      <c r="D198" s="7" t="s">
        <v>97</v>
      </c>
      <c r="E198" s="7" t="s">
        <v>98</v>
      </c>
      <c r="F198" s="7" t="s">
        <v>99</v>
      </c>
      <c r="G198" s="7" t="s">
        <v>100</v>
      </c>
      <c r="H198" s="7">
        <v>99999</v>
      </c>
      <c r="I198" s="7" t="s">
        <v>30</v>
      </c>
      <c r="J198" s="7" t="s">
        <v>101</v>
      </c>
      <c r="K198" s="7" t="s">
        <v>45</v>
      </c>
      <c r="L198" s="8">
        <v>41863</v>
      </c>
      <c r="M198" s="7" t="s">
        <v>46</v>
      </c>
      <c r="N198" s="7" t="s">
        <v>102</v>
      </c>
      <c r="O198" s="7" t="s">
        <v>98</v>
      </c>
      <c r="P198" s="7" t="s">
        <v>99</v>
      </c>
      <c r="Q198" s="7" t="s">
        <v>100</v>
      </c>
      <c r="R198" s="7">
        <v>99999</v>
      </c>
      <c r="S198" s="7" t="s">
        <v>30</v>
      </c>
      <c r="U198" s="7" t="s">
        <v>64</v>
      </c>
      <c r="V198" s="7" t="s">
        <v>65</v>
      </c>
      <c r="W198" s="9">
        <v>9.1999999999999993</v>
      </c>
      <c r="X198" s="7">
        <v>96</v>
      </c>
      <c r="Y198" s="10">
        <v>883.19999999999993</v>
      </c>
      <c r="Z198" s="9">
        <v>86.553599999999989</v>
      </c>
    </row>
    <row r="199" spans="1:26" x14ac:dyDescent="0.35">
      <c r="A199" s="7">
        <v>1229</v>
      </c>
      <c r="B199" s="8">
        <v>41862</v>
      </c>
      <c r="C199" s="7">
        <v>11</v>
      </c>
      <c r="D199" s="7" t="s">
        <v>113</v>
      </c>
      <c r="E199" s="7" t="s">
        <v>114</v>
      </c>
      <c r="F199" s="7" t="s">
        <v>115</v>
      </c>
      <c r="G199" s="7" t="s">
        <v>116</v>
      </c>
      <c r="H199" s="7">
        <v>99999</v>
      </c>
      <c r="I199" s="7" t="s">
        <v>30</v>
      </c>
      <c r="J199" s="7" t="s">
        <v>94</v>
      </c>
      <c r="K199" s="7" t="s">
        <v>95</v>
      </c>
      <c r="L199" s="8"/>
      <c r="M199" s="7" t="s">
        <v>62</v>
      </c>
      <c r="N199" s="7" t="s">
        <v>117</v>
      </c>
      <c r="O199" s="7" t="s">
        <v>114</v>
      </c>
      <c r="P199" s="7" t="s">
        <v>115</v>
      </c>
      <c r="Q199" s="7" t="s">
        <v>116</v>
      </c>
      <c r="R199" s="7">
        <v>99999</v>
      </c>
      <c r="S199" s="7" t="s">
        <v>30</v>
      </c>
      <c r="U199" s="7" t="s">
        <v>38</v>
      </c>
      <c r="V199" s="7" t="s">
        <v>39</v>
      </c>
      <c r="W199" s="9">
        <v>3.5</v>
      </c>
      <c r="X199" s="7">
        <v>31</v>
      </c>
      <c r="Y199" s="10">
        <v>108.5</v>
      </c>
      <c r="Z199" s="9">
        <v>10.850000000000001</v>
      </c>
    </row>
    <row r="200" spans="1:26" x14ac:dyDescent="0.35">
      <c r="A200" s="7">
        <v>1230</v>
      </c>
      <c r="B200" s="8">
        <v>41862</v>
      </c>
      <c r="C200" s="7">
        <v>11</v>
      </c>
      <c r="D200" s="7" t="s">
        <v>113</v>
      </c>
      <c r="E200" s="7" t="s">
        <v>114</v>
      </c>
      <c r="F200" s="7" t="s">
        <v>115</v>
      </c>
      <c r="G200" s="7" t="s">
        <v>116</v>
      </c>
      <c r="H200" s="7">
        <v>99999</v>
      </c>
      <c r="I200" s="7" t="s">
        <v>30</v>
      </c>
      <c r="J200" s="7" t="s">
        <v>94</v>
      </c>
      <c r="K200" s="7" t="s">
        <v>95</v>
      </c>
      <c r="L200" s="8"/>
      <c r="M200" s="7" t="s">
        <v>62</v>
      </c>
      <c r="N200" s="7" t="s">
        <v>117</v>
      </c>
      <c r="O200" s="7" t="s">
        <v>114</v>
      </c>
      <c r="P200" s="7" t="s">
        <v>115</v>
      </c>
      <c r="Q200" s="7" t="s">
        <v>116</v>
      </c>
      <c r="R200" s="7">
        <v>99999</v>
      </c>
      <c r="S200" s="7" t="s">
        <v>30</v>
      </c>
      <c r="U200" s="7" t="s">
        <v>103</v>
      </c>
      <c r="V200" s="7" t="s">
        <v>37</v>
      </c>
      <c r="W200" s="9">
        <v>2.99</v>
      </c>
      <c r="X200" s="7">
        <v>52</v>
      </c>
      <c r="Y200" s="10">
        <v>155.48000000000002</v>
      </c>
      <c r="Z200" s="9">
        <v>16.014440000000004</v>
      </c>
    </row>
    <row r="201" spans="1:26" x14ac:dyDescent="0.35">
      <c r="A201" s="7">
        <v>1231</v>
      </c>
      <c r="B201" s="8">
        <v>41852</v>
      </c>
      <c r="C201" s="7">
        <v>1</v>
      </c>
      <c r="D201" s="7" t="s">
        <v>118</v>
      </c>
      <c r="E201" s="7" t="s">
        <v>119</v>
      </c>
      <c r="F201" s="7" t="s">
        <v>120</v>
      </c>
      <c r="G201" s="7" t="s">
        <v>121</v>
      </c>
      <c r="H201" s="7">
        <v>99999</v>
      </c>
      <c r="I201" s="7" t="s">
        <v>30</v>
      </c>
      <c r="J201" s="7" t="s">
        <v>60</v>
      </c>
      <c r="K201" s="7" t="s">
        <v>61</v>
      </c>
      <c r="L201" s="8"/>
      <c r="N201" s="7" t="s">
        <v>122</v>
      </c>
      <c r="O201" s="7" t="s">
        <v>119</v>
      </c>
      <c r="P201" s="7" t="s">
        <v>120</v>
      </c>
      <c r="Q201" s="7" t="s">
        <v>121</v>
      </c>
      <c r="R201" s="7">
        <v>99999</v>
      </c>
      <c r="S201" s="7" t="s">
        <v>30</v>
      </c>
      <c r="U201" s="7" t="s">
        <v>54</v>
      </c>
      <c r="V201" s="7" t="s">
        <v>37</v>
      </c>
      <c r="W201" s="9">
        <v>18</v>
      </c>
      <c r="X201" s="7">
        <v>91</v>
      </c>
      <c r="Y201" s="10">
        <v>1638</v>
      </c>
      <c r="Z201" s="9">
        <v>158.886</v>
      </c>
    </row>
    <row r="202" spans="1:26" x14ac:dyDescent="0.35">
      <c r="A202" s="7">
        <v>1232</v>
      </c>
      <c r="B202" s="8">
        <v>41852</v>
      </c>
      <c r="C202" s="7">
        <v>1</v>
      </c>
      <c r="D202" s="7" t="s">
        <v>118</v>
      </c>
      <c r="E202" s="7" t="s">
        <v>119</v>
      </c>
      <c r="F202" s="7" t="s">
        <v>120</v>
      </c>
      <c r="G202" s="7" t="s">
        <v>121</v>
      </c>
      <c r="H202" s="7">
        <v>99999</v>
      </c>
      <c r="I202" s="7" t="s">
        <v>30</v>
      </c>
      <c r="J202" s="7" t="s">
        <v>60</v>
      </c>
      <c r="K202" s="7" t="s">
        <v>61</v>
      </c>
      <c r="L202" s="8"/>
      <c r="N202" s="7" t="s">
        <v>122</v>
      </c>
      <c r="O202" s="7" t="s">
        <v>119</v>
      </c>
      <c r="P202" s="7" t="s">
        <v>120</v>
      </c>
      <c r="Q202" s="7" t="s">
        <v>121</v>
      </c>
      <c r="R202" s="7">
        <v>99999</v>
      </c>
      <c r="S202" s="7" t="s">
        <v>30</v>
      </c>
      <c r="U202" s="7" t="s">
        <v>55</v>
      </c>
      <c r="V202" s="7" t="s">
        <v>37</v>
      </c>
      <c r="W202" s="9">
        <v>46</v>
      </c>
      <c r="X202" s="7">
        <v>14</v>
      </c>
      <c r="Y202" s="10">
        <v>644</v>
      </c>
      <c r="Z202" s="9">
        <v>63.756000000000007</v>
      </c>
    </row>
    <row r="203" spans="1:26" x14ac:dyDescent="0.35">
      <c r="A203" s="7">
        <v>1233</v>
      </c>
      <c r="B203" s="8">
        <v>41852</v>
      </c>
      <c r="C203" s="7">
        <v>1</v>
      </c>
      <c r="D203" s="7" t="s">
        <v>118</v>
      </c>
      <c r="E203" s="7" t="s">
        <v>119</v>
      </c>
      <c r="F203" s="7" t="s">
        <v>120</v>
      </c>
      <c r="G203" s="7" t="s">
        <v>121</v>
      </c>
      <c r="H203" s="7">
        <v>99999</v>
      </c>
      <c r="I203" s="7" t="s">
        <v>30</v>
      </c>
      <c r="J203" s="7" t="s">
        <v>60</v>
      </c>
      <c r="K203" s="7" t="s">
        <v>61</v>
      </c>
      <c r="L203" s="8"/>
      <c r="N203" s="7" t="s">
        <v>122</v>
      </c>
      <c r="O203" s="7" t="s">
        <v>119</v>
      </c>
      <c r="P203" s="7" t="s">
        <v>120</v>
      </c>
      <c r="Q203" s="7" t="s">
        <v>121</v>
      </c>
      <c r="R203" s="7">
        <v>99999</v>
      </c>
      <c r="S203" s="7" t="s">
        <v>30</v>
      </c>
      <c r="U203" s="7" t="s">
        <v>103</v>
      </c>
      <c r="V203" s="7" t="s">
        <v>37</v>
      </c>
      <c r="W203" s="7">
        <v>2.99</v>
      </c>
      <c r="X203" s="7">
        <v>44</v>
      </c>
      <c r="Y203" s="10">
        <v>131.56</v>
      </c>
      <c r="Z203" s="9">
        <v>13.287560000000001</v>
      </c>
    </row>
    <row r="204" spans="1:26" x14ac:dyDescent="0.35">
      <c r="A204" s="7">
        <v>1234</v>
      </c>
      <c r="B204" s="8">
        <v>41879</v>
      </c>
      <c r="C204" s="7">
        <v>28</v>
      </c>
      <c r="D204" s="7" t="s">
        <v>90</v>
      </c>
      <c r="E204" s="7" t="s">
        <v>91</v>
      </c>
      <c r="F204" s="7" t="s">
        <v>92</v>
      </c>
      <c r="G204" s="7" t="s">
        <v>93</v>
      </c>
      <c r="H204" s="7">
        <v>99999</v>
      </c>
      <c r="I204" s="7" t="s">
        <v>30</v>
      </c>
      <c r="J204" s="7" t="s">
        <v>94</v>
      </c>
      <c r="K204" s="7" t="s">
        <v>95</v>
      </c>
      <c r="L204" s="8">
        <v>41881</v>
      </c>
      <c r="M204" s="7" t="s">
        <v>62</v>
      </c>
      <c r="N204" s="7" t="s">
        <v>96</v>
      </c>
      <c r="O204" s="7" t="s">
        <v>91</v>
      </c>
      <c r="P204" s="7" t="s">
        <v>92</v>
      </c>
      <c r="Q204" s="7" t="s">
        <v>93</v>
      </c>
      <c r="R204" s="7">
        <v>99999</v>
      </c>
      <c r="S204" s="7" t="s">
        <v>30</v>
      </c>
      <c r="T204" s="7" t="s">
        <v>48</v>
      </c>
      <c r="U204" s="7" t="s">
        <v>80</v>
      </c>
      <c r="V204" s="7" t="s">
        <v>81</v>
      </c>
      <c r="W204" s="7">
        <v>9.65</v>
      </c>
      <c r="X204" s="7">
        <v>97</v>
      </c>
      <c r="Y204" s="10">
        <v>936.05000000000007</v>
      </c>
      <c r="Z204" s="9">
        <v>95.477100000000021</v>
      </c>
    </row>
    <row r="205" spans="1:26" x14ac:dyDescent="0.35">
      <c r="A205" s="7">
        <v>1235</v>
      </c>
      <c r="B205" s="8">
        <v>41879</v>
      </c>
      <c r="C205" s="7">
        <v>28</v>
      </c>
      <c r="D205" s="7" t="s">
        <v>90</v>
      </c>
      <c r="E205" s="7" t="s">
        <v>91</v>
      </c>
      <c r="F205" s="7" t="s">
        <v>92</v>
      </c>
      <c r="G205" s="7" t="s">
        <v>93</v>
      </c>
      <c r="H205" s="7">
        <v>99999</v>
      </c>
      <c r="I205" s="7" t="s">
        <v>30</v>
      </c>
      <c r="J205" s="7" t="s">
        <v>94</v>
      </c>
      <c r="K205" s="7" t="s">
        <v>95</v>
      </c>
      <c r="L205" s="8">
        <v>41881</v>
      </c>
      <c r="M205" s="7" t="s">
        <v>62</v>
      </c>
      <c r="N205" s="7" t="s">
        <v>96</v>
      </c>
      <c r="O205" s="7" t="s">
        <v>91</v>
      </c>
      <c r="P205" s="7" t="s">
        <v>92</v>
      </c>
      <c r="Q205" s="7" t="s">
        <v>93</v>
      </c>
      <c r="R205" s="7">
        <v>99999</v>
      </c>
      <c r="S205" s="7" t="s">
        <v>30</v>
      </c>
      <c r="T205" s="7" t="s">
        <v>48</v>
      </c>
      <c r="U205" s="7" t="s">
        <v>123</v>
      </c>
      <c r="V205" s="7" t="s">
        <v>124</v>
      </c>
      <c r="W205" s="7">
        <v>18.399999999999999</v>
      </c>
      <c r="X205" s="7">
        <v>80</v>
      </c>
      <c r="Y205" s="10">
        <v>1472</v>
      </c>
      <c r="Z205" s="9">
        <v>150.14400000000003</v>
      </c>
    </row>
    <row r="206" spans="1:26" x14ac:dyDescent="0.35">
      <c r="A206" s="7">
        <v>1236</v>
      </c>
      <c r="B206" s="8">
        <v>41860</v>
      </c>
      <c r="C206" s="7">
        <v>9</v>
      </c>
      <c r="D206" s="7" t="s">
        <v>125</v>
      </c>
      <c r="E206" s="7" t="s">
        <v>126</v>
      </c>
      <c r="F206" s="7" t="s">
        <v>127</v>
      </c>
      <c r="G206" s="7" t="s">
        <v>128</v>
      </c>
      <c r="H206" s="7">
        <v>99999</v>
      </c>
      <c r="I206" s="7" t="s">
        <v>30</v>
      </c>
      <c r="J206" s="7" t="s">
        <v>129</v>
      </c>
      <c r="K206" s="7" t="s">
        <v>32</v>
      </c>
      <c r="L206" s="8">
        <v>41862</v>
      </c>
      <c r="M206" s="7" t="s">
        <v>46</v>
      </c>
      <c r="N206" s="7" t="s">
        <v>130</v>
      </c>
      <c r="O206" s="7" t="s">
        <v>126</v>
      </c>
      <c r="P206" s="7" t="s">
        <v>127</v>
      </c>
      <c r="Q206" s="7" t="s">
        <v>128</v>
      </c>
      <c r="R206" s="7">
        <v>99999</v>
      </c>
      <c r="S206" s="7" t="s">
        <v>30</v>
      </c>
      <c r="T206" s="7" t="s">
        <v>35</v>
      </c>
      <c r="U206" s="7" t="s">
        <v>131</v>
      </c>
      <c r="V206" s="7" t="s">
        <v>132</v>
      </c>
      <c r="W206" s="7">
        <v>19.5</v>
      </c>
      <c r="X206" s="7">
        <v>66</v>
      </c>
      <c r="Y206" s="10">
        <v>1287</v>
      </c>
      <c r="Z206" s="9">
        <v>132.56100000000001</v>
      </c>
    </row>
    <row r="207" spans="1:26" x14ac:dyDescent="0.35">
      <c r="A207" s="7">
        <v>1237</v>
      </c>
      <c r="B207" s="8">
        <v>41860</v>
      </c>
      <c r="C207" s="7">
        <v>9</v>
      </c>
      <c r="D207" s="7" t="s">
        <v>125</v>
      </c>
      <c r="E207" s="7" t="s">
        <v>126</v>
      </c>
      <c r="F207" s="7" t="s">
        <v>127</v>
      </c>
      <c r="G207" s="7" t="s">
        <v>128</v>
      </c>
      <c r="H207" s="7">
        <v>99999</v>
      </c>
      <c r="I207" s="7" t="s">
        <v>30</v>
      </c>
      <c r="J207" s="7" t="s">
        <v>129</v>
      </c>
      <c r="K207" s="7" t="s">
        <v>32</v>
      </c>
      <c r="L207" s="8">
        <v>41862</v>
      </c>
      <c r="M207" s="7" t="s">
        <v>46</v>
      </c>
      <c r="N207" s="7" t="s">
        <v>130</v>
      </c>
      <c r="O207" s="7" t="s">
        <v>126</v>
      </c>
      <c r="P207" s="7" t="s">
        <v>127</v>
      </c>
      <c r="Q207" s="7" t="s">
        <v>128</v>
      </c>
      <c r="R207" s="7">
        <v>99999</v>
      </c>
      <c r="S207" s="7" t="s">
        <v>30</v>
      </c>
      <c r="T207" s="7" t="s">
        <v>35</v>
      </c>
      <c r="U207" s="7" t="s">
        <v>133</v>
      </c>
      <c r="V207" s="7" t="s">
        <v>134</v>
      </c>
      <c r="W207" s="7">
        <v>34.799999999999997</v>
      </c>
      <c r="X207" s="7">
        <v>32</v>
      </c>
      <c r="Y207" s="10">
        <v>1113.5999999999999</v>
      </c>
      <c r="Z207" s="9">
        <v>111.36</v>
      </c>
    </row>
    <row r="208" spans="1:26" x14ac:dyDescent="0.35">
      <c r="A208" s="7">
        <v>1238</v>
      </c>
      <c r="B208" s="8">
        <v>41857</v>
      </c>
      <c r="C208" s="7">
        <v>6</v>
      </c>
      <c r="D208" s="7" t="s">
        <v>82</v>
      </c>
      <c r="E208" s="7" t="s">
        <v>83</v>
      </c>
      <c r="F208" s="7" t="s">
        <v>84</v>
      </c>
      <c r="G208" s="7" t="s">
        <v>85</v>
      </c>
      <c r="H208" s="7">
        <v>99999</v>
      </c>
      <c r="I208" s="7" t="s">
        <v>30</v>
      </c>
      <c r="J208" s="7" t="s">
        <v>86</v>
      </c>
      <c r="K208" s="7" t="s">
        <v>61</v>
      </c>
      <c r="L208" s="8">
        <v>41859</v>
      </c>
      <c r="M208" s="7" t="s">
        <v>33</v>
      </c>
      <c r="N208" s="7" t="s">
        <v>87</v>
      </c>
      <c r="O208" s="7" t="s">
        <v>83</v>
      </c>
      <c r="P208" s="7" t="s">
        <v>84</v>
      </c>
      <c r="Q208" s="7" t="s">
        <v>85</v>
      </c>
      <c r="R208" s="7">
        <v>99999</v>
      </c>
      <c r="S208" s="7" t="s">
        <v>30</v>
      </c>
      <c r="T208" s="7" t="s">
        <v>48</v>
      </c>
      <c r="U208" s="7" t="s">
        <v>36</v>
      </c>
      <c r="V208" s="7" t="s">
        <v>37</v>
      </c>
      <c r="W208" s="7">
        <v>14</v>
      </c>
      <c r="X208" s="7">
        <v>52</v>
      </c>
      <c r="Y208" s="10">
        <v>728</v>
      </c>
      <c r="Z208" s="9">
        <v>72.8</v>
      </c>
    </row>
    <row r="209" spans="1:26" x14ac:dyDescent="0.35">
      <c r="A209" s="7">
        <v>1239</v>
      </c>
      <c r="B209" s="8">
        <v>41859</v>
      </c>
      <c r="C209" s="7">
        <v>8</v>
      </c>
      <c r="D209" s="7" t="s">
        <v>56</v>
      </c>
      <c r="E209" s="7" t="s">
        <v>57</v>
      </c>
      <c r="F209" s="7" t="s">
        <v>58</v>
      </c>
      <c r="G209" s="7" t="s">
        <v>59</v>
      </c>
      <c r="H209" s="7">
        <v>99999</v>
      </c>
      <c r="I209" s="7" t="s">
        <v>30</v>
      </c>
      <c r="J209" s="7" t="s">
        <v>60</v>
      </c>
      <c r="K209" s="7" t="s">
        <v>61</v>
      </c>
      <c r="L209" s="8">
        <v>41861</v>
      </c>
      <c r="M209" s="7" t="s">
        <v>33</v>
      </c>
      <c r="N209" s="7" t="s">
        <v>63</v>
      </c>
      <c r="O209" s="7" t="s">
        <v>57</v>
      </c>
      <c r="P209" s="7" t="s">
        <v>58</v>
      </c>
      <c r="Q209" s="7" t="s">
        <v>59</v>
      </c>
      <c r="R209" s="7">
        <v>99999</v>
      </c>
      <c r="S209" s="7" t="s">
        <v>30</v>
      </c>
      <c r="T209" s="7" t="s">
        <v>35</v>
      </c>
      <c r="U209" s="7" t="s">
        <v>88</v>
      </c>
      <c r="V209" s="7" t="s">
        <v>89</v>
      </c>
      <c r="W209" s="7">
        <v>40</v>
      </c>
      <c r="X209" s="7">
        <v>78</v>
      </c>
      <c r="Y209" s="10">
        <v>3120</v>
      </c>
      <c r="Z209" s="9">
        <v>318.24</v>
      </c>
    </row>
    <row r="210" spans="1:26" x14ac:dyDescent="0.35">
      <c r="A210" s="7">
        <v>1240</v>
      </c>
      <c r="B210" s="8">
        <v>41859</v>
      </c>
      <c r="C210" s="7">
        <v>8</v>
      </c>
      <c r="D210" s="7" t="s">
        <v>56</v>
      </c>
      <c r="E210" s="7" t="s">
        <v>57</v>
      </c>
      <c r="F210" s="7" t="s">
        <v>58</v>
      </c>
      <c r="G210" s="7" t="s">
        <v>59</v>
      </c>
      <c r="H210" s="7">
        <v>99999</v>
      </c>
      <c r="I210" s="7" t="s">
        <v>30</v>
      </c>
      <c r="J210" s="7" t="s">
        <v>60</v>
      </c>
      <c r="K210" s="7" t="s">
        <v>61</v>
      </c>
      <c r="L210" s="8">
        <v>41861</v>
      </c>
      <c r="M210" s="7" t="s">
        <v>33</v>
      </c>
      <c r="N210" s="7" t="s">
        <v>63</v>
      </c>
      <c r="O210" s="7" t="s">
        <v>57</v>
      </c>
      <c r="P210" s="7" t="s">
        <v>58</v>
      </c>
      <c r="Q210" s="7" t="s">
        <v>59</v>
      </c>
      <c r="R210" s="7">
        <v>99999</v>
      </c>
      <c r="S210" s="7" t="s">
        <v>30</v>
      </c>
      <c r="T210" s="7" t="s">
        <v>35</v>
      </c>
      <c r="U210" s="7" t="s">
        <v>64</v>
      </c>
      <c r="V210" s="7" t="s">
        <v>65</v>
      </c>
      <c r="W210" s="7">
        <v>9.1999999999999993</v>
      </c>
      <c r="X210" s="7">
        <v>54</v>
      </c>
      <c r="Y210" s="10">
        <v>496.79999999999995</v>
      </c>
      <c r="Z210" s="9">
        <v>49.183199999999999</v>
      </c>
    </row>
    <row r="211" spans="1:26" x14ac:dyDescent="0.35">
      <c r="A211" s="7">
        <v>1241</v>
      </c>
      <c r="B211" s="8">
        <v>41876</v>
      </c>
      <c r="C211" s="7">
        <v>25</v>
      </c>
      <c r="D211" s="7" t="s">
        <v>137</v>
      </c>
      <c r="E211" s="7" t="s">
        <v>138</v>
      </c>
      <c r="F211" s="7" t="s">
        <v>99</v>
      </c>
      <c r="G211" s="7" t="s">
        <v>100</v>
      </c>
      <c r="H211" s="7">
        <v>99999</v>
      </c>
      <c r="I211" s="7" t="s">
        <v>30</v>
      </c>
      <c r="J211" s="7" t="s">
        <v>101</v>
      </c>
      <c r="K211" s="7" t="s">
        <v>45</v>
      </c>
      <c r="L211" s="8">
        <v>41878</v>
      </c>
      <c r="M211" s="7" t="s">
        <v>46</v>
      </c>
      <c r="N211" s="7" t="s">
        <v>139</v>
      </c>
      <c r="O211" s="7" t="s">
        <v>138</v>
      </c>
      <c r="P211" s="7" t="s">
        <v>99</v>
      </c>
      <c r="Q211" s="7" t="s">
        <v>100</v>
      </c>
      <c r="R211" s="7">
        <v>99999</v>
      </c>
      <c r="S211" s="7" t="s">
        <v>30</v>
      </c>
      <c r="T211" s="7" t="s">
        <v>79</v>
      </c>
      <c r="U211" s="7" t="s">
        <v>146</v>
      </c>
      <c r="V211" s="7" t="s">
        <v>65</v>
      </c>
      <c r="W211" s="7">
        <v>10</v>
      </c>
      <c r="X211" s="7">
        <v>55</v>
      </c>
      <c r="Y211" s="10">
        <v>550</v>
      </c>
      <c r="Z211" s="9">
        <v>52.25</v>
      </c>
    </row>
    <row r="212" spans="1:26" x14ac:dyDescent="0.35">
      <c r="A212" s="7">
        <v>1242</v>
      </c>
      <c r="B212" s="8">
        <v>41877</v>
      </c>
      <c r="C212" s="7">
        <v>26</v>
      </c>
      <c r="D212" s="7" t="s">
        <v>140</v>
      </c>
      <c r="E212" s="7" t="s">
        <v>141</v>
      </c>
      <c r="F212" s="7" t="s">
        <v>115</v>
      </c>
      <c r="G212" s="7" t="s">
        <v>116</v>
      </c>
      <c r="H212" s="7">
        <v>99999</v>
      </c>
      <c r="I212" s="7" t="s">
        <v>30</v>
      </c>
      <c r="J212" s="7" t="s">
        <v>94</v>
      </c>
      <c r="K212" s="7" t="s">
        <v>95</v>
      </c>
      <c r="L212" s="8">
        <v>41879</v>
      </c>
      <c r="M212" s="7" t="s">
        <v>62</v>
      </c>
      <c r="N212" s="7" t="s">
        <v>142</v>
      </c>
      <c r="O212" s="7" t="s">
        <v>141</v>
      </c>
      <c r="P212" s="7" t="s">
        <v>115</v>
      </c>
      <c r="Q212" s="7" t="s">
        <v>116</v>
      </c>
      <c r="R212" s="7">
        <v>99999</v>
      </c>
      <c r="S212" s="7" t="s">
        <v>30</v>
      </c>
      <c r="T212" s="7" t="s">
        <v>48</v>
      </c>
      <c r="U212" s="7" t="s">
        <v>147</v>
      </c>
      <c r="V212" s="7" t="s">
        <v>148</v>
      </c>
      <c r="W212" s="7">
        <v>21.35</v>
      </c>
      <c r="X212" s="7">
        <v>60</v>
      </c>
      <c r="Y212" s="10">
        <v>1281</v>
      </c>
      <c r="Z212" s="9">
        <v>129.381</v>
      </c>
    </row>
    <row r="213" spans="1:26" x14ac:dyDescent="0.35">
      <c r="A213" s="7">
        <v>1243</v>
      </c>
      <c r="B213" s="8">
        <v>41877</v>
      </c>
      <c r="C213" s="7">
        <v>26</v>
      </c>
      <c r="D213" s="7" t="s">
        <v>140</v>
      </c>
      <c r="E213" s="7" t="s">
        <v>141</v>
      </c>
      <c r="F213" s="7" t="s">
        <v>115</v>
      </c>
      <c r="G213" s="7" t="s">
        <v>116</v>
      </c>
      <c r="H213" s="7">
        <v>99999</v>
      </c>
      <c r="I213" s="7" t="s">
        <v>30</v>
      </c>
      <c r="J213" s="7" t="s">
        <v>94</v>
      </c>
      <c r="K213" s="7" t="s">
        <v>95</v>
      </c>
      <c r="L213" s="8">
        <v>41879</v>
      </c>
      <c r="M213" s="7" t="s">
        <v>62</v>
      </c>
      <c r="N213" s="7" t="s">
        <v>142</v>
      </c>
      <c r="O213" s="7" t="s">
        <v>141</v>
      </c>
      <c r="P213" s="7" t="s">
        <v>115</v>
      </c>
      <c r="Q213" s="7" t="s">
        <v>116</v>
      </c>
      <c r="R213" s="7">
        <v>99999</v>
      </c>
      <c r="S213" s="7" t="s">
        <v>30</v>
      </c>
      <c r="T213" s="7" t="s">
        <v>48</v>
      </c>
      <c r="U213" s="7" t="s">
        <v>80</v>
      </c>
      <c r="V213" s="7" t="s">
        <v>81</v>
      </c>
      <c r="W213" s="7">
        <v>9.65</v>
      </c>
      <c r="X213" s="7">
        <v>19</v>
      </c>
      <c r="Y213" s="10">
        <v>183.35</v>
      </c>
      <c r="Z213" s="9">
        <v>17.41825</v>
      </c>
    </row>
    <row r="214" spans="1:26" x14ac:dyDescent="0.35">
      <c r="A214" s="7">
        <v>1244</v>
      </c>
      <c r="B214" s="8">
        <v>41877</v>
      </c>
      <c r="C214" s="7">
        <v>26</v>
      </c>
      <c r="D214" s="7" t="s">
        <v>140</v>
      </c>
      <c r="E214" s="7" t="s">
        <v>141</v>
      </c>
      <c r="F214" s="7" t="s">
        <v>115</v>
      </c>
      <c r="G214" s="7" t="s">
        <v>116</v>
      </c>
      <c r="H214" s="7">
        <v>99999</v>
      </c>
      <c r="I214" s="7" t="s">
        <v>30</v>
      </c>
      <c r="J214" s="7" t="s">
        <v>94</v>
      </c>
      <c r="K214" s="7" t="s">
        <v>95</v>
      </c>
      <c r="L214" s="8">
        <v>41879</v>
      </c>
      <c r="M214" s="7" t="s">
        <v>62</v>
      </c>
      <c r="N214" s="7" t="s">
        <v>142</v>
      </c>
      <c r="O214" s="7" t="s">
        <v>141</v>
      </c>
      <c r="P214" s="7" t="s">
        <v>115</v>
      </c>
      <c r="Q214" s="7" t="s">
        <v>116</v>
      </c>
      <c r="R214" s="7">
        <v>99999</v>
      </c>
      <c r="S214" s="7" t="s">
        <v>30</v>
      </c>
      <c r="T214" s="7" t="s">
        <v>48</v>
      </c>
      <c r="U214" s="7" t="s">
        <v>123</v>
      </c>
      <c r="V214" s="7" t="s">
        <v>124</v>
      </c>
      <c r="W214" s="7">
        <v>18.399999999999999</v>
      </c>
      <c r="X214" s="7">
        <v>66</v>
      </c>
      <c r="Y214" s="10">
        <v>1214.3999999999999</v>
      </c>
      <c r="Z214" s="9">
        <v>125.08320000000001</v>
      </c>
    </row>
    <row r="215" spans="1:26" x14ac:dyDescent="0.35">
      <c r="A215" s="7">
        <v>1245</v>
      </c>
      <c r="B215" s="8">
        <v>41880</v>
      </c>
      <c r="C215" s="7">
        <v>29</v>
      </c>
      <c r="D215" s="7" t="s">
        <v>66</v>
      </c>
      <c r="E215" s="7" t="s">
        <v>67</v>
      </c>
      <c r="F215" s="7" t="s">
        <v>68</v>
      </c>
      <c r="G215" s="7" t="s">
        <v>69</v>
      </c>
      <c r="H215" s="7">
        <v>99999</v>
      </c>
      <c r="I215" s="7" t="s">
        <v>30</v>
      </c>
      <c r="J215" s="7" t="s">
        <v>70</v>
      </c>
      <c r="K215" s="7" t="s">
        <v>32</v>
      </c>
      <c r="L215" s="8">
        <v>41882</v>
      </c>
      <c r="M215" s="7" t="s">
        <v>33</v>
      </c>
      <c r="N215" s="7" t="s">
        <v>71</v>
      </c>
      <c r="O215" s="7" t="s">
        <v>67</v>
      </c>
      <c r="P215" s="7" t="s">
        <v>68</v>
      </c>
      <c r="Q215" s="7" t="s">
        <v>69</v>
      </c>
      <c r="R215" s="7">
        <v>99999</v>
      </c>
      <c r="S215" s="7" t="s">
        <v>30</v>
      </c>
      <c r="T215" s="7" t="s">
        <v>35</v>
      </c>
      <c r="U215" s="7" t="s">
        <v>36</v>
      </c>
      <c r="V215" s="7" t="s">
        <v>37</v>
      </c>
      <c r="W215" s="7">
        <v>14</v>
      </c>
      <c r="X215" s="7">
        <v>42</v>
      </c>
      <c r="Y215" s="10">
        <v>588</v>
      </c>
      <c r="Z215" s="9">
        <v>59.388000000000005</v>
      </c>
    </row>
    <row r="216" spans="1:26" x14ac:dyDescent="0.35">
      <c r="A216" s="7">
        <v>1246</v>
      </c>
      <c r="B216" s="8">
        <v>41857</v>
      </c>
      <c r="C216" s="7">
        <v>6</v>
      </c>
      <c r="D216" s="7" t="s">
        <v>82</v>
      </c>
      <c r="E216" s="7" t="s">
        <v>83</v>
      </c>
      <c r="F216" s="7" t="s">
        <v>84</v>
      </c>
      <c r="G216" s="7" t="s">
        <v>85</v>
      </c>
      <c r="H216" s="7">
        <v>99999</v>
      </c>
      <c r="I216" s="7" t="s">
        <v>30</v>
      </c>
      <c r="J216" s="7" t="s">
        <v>86</v>
      </c>
      <c r="K216" s="7" t="s">
        <v>61</v>
      </c>
      <c r="L216" s="7">
        <v>41859</v>
      </c>
      <c r="M216" s="7" t="s">
        <v>62</v>
      </c>
      <c r="N216" s="7" t="s">
        <v>87</v>
      </c>
      <c r="O216" s="7" t="s">
        <v>83</v>
      </c>
      <c r="P216" s="7" t="s">
        <v>84</v>
      </c>
      <c r="Q216" s="7" t="s">
        <v>85</v>
      </c>
      <c r="R216" s="7">
        <v>99999</v>
      </c>
      <c r="S216" s="7" t="s">
        <v>30</v>
      </c>
      <c r="T216" s="7" t="s">
        <v>35</v>
      </c>
      <c r="U216" s="7" t="s">
        <v>72</v>
      </c>
      <c r="V216" s="7" t="s">
        <v>73</v>
      </c>
      <c r="W216" s="7">
        <v>12.75</v>
      </c>
      <c r="X216" s="7">
        <v>72</v>
      </c>
      <c r="Y216" s="10">
        <v>918</v>
      </c>
      <c r="Z216" s="9">
        <v>89.046000000000006</v>
      </c>
    </row>
    <row r="217" spans="1:26" x14ac:dyDescent="0.35">
      <c r="A217" s="7">
        <v>1248</v>
      </c>
      <c r="B217" s="8">
        <v>41855</v>
      </c>
      <c r="C217" s="7">
        <v>4</v>
      </c>
      <c r="D217" s="7" t="s">
        <v>40</v>
      </c>
      <c r="E217" s="7" t="s">
        <v>41</v>
      </c>
      <c r="F217" s="7" t="s">
        <v>42</v>
      </c>
      <c r="G217" s="7" t="s">
        <v>43</v>
      </c>
      <c r="H217" s="7">
        <v>99999</v>
      </c>
      <c r="I217" s="7" t="s">
        <v>30</v>
      </c>
      <c r="J217" s="7" t="s">
        <v>44</v>
      </c>
      <c r="K217" s="7" t="s">
        <v>45</v>
      </c>
      <c r="L217" s="7">
        <v>41857</v>
      </c>
      <c r="M217" s="7" t="s">
        <v>46</v>
      </c>
      <c r="N217" s="7" t="s">
        <v>47</v>
      </c>
      <c r="O217" s="7" t="s">
        <v>41</v>
      </c>
      <c r="P217" s="7" t="s">
        <v>42</v>
      </c>
      <c r="Q217" s="7" t="s">
        <v>43</v>
      </c>
      <c r="R217" s="7">
        <v>99999</v>
      </c>
      <c r="S217" s="7" t="s">
        <v>30</v>
      </c>
      <c r="T217" s="7" t="s">
        <v>48</v>
      </c>
      <c r="U217" s="7" t="s">
        <v>149</v>
      </c>
      <c r="V217" s="7" t="s">
        <v>110</v>
      </c>
      <c r="W217" s="7">
        <v>81</v>
      </c>
      <c r="X217" s="7">
        <v>32</v>
      </c>
      <c r="Y217" s="10">
        <v>2592</v>
      </c>
      <c r="Z217" s="9">
        <v>251.42399999999998</v>
      </c>
    </row>
    <row r="218" spans="1:26" x14ac:dyDescent="0.35">
      <c r="A218" s="7">
        <v>1249</v>
      </c>
      <c r="B218" s="8">
        <v>41855</v>
      </c>
      <c r="C218" s="7">
        <v>4</v>
      </c>
      <c r="D218" s="7" t="s">
        <v>40</v>
      </c>
      <c r="E218" s="7" t="s">
        <v>41</v>
      </c>
      <c r="F218" s="7" t="s">
        <v>42</v>
      </c>
      <c r="G218" s="7" t="s">
        <v>43</v>
      </c>
      <c r="H218" s="7">
        <v>99999</v>
      </c>
      <c r="I218" s="7" t="s">
        <v>30</v>
      </c>
      <c r="J218" s="7" t="s">
        <v>44</v>
      </c>
      <c r="K218" s="7" t="s">
        <v>45</v>
      </c>
      <c r="L218" s="7">
        <v>41857</v>
      </c>
      <c r="M218" s="7" t="s">
        <v>46</v>
      </c>
      <c r="N218" s="7" t="s">
        <v>47</v>
      </c>
      <c r="O218" s="7" t="s">
        <v>41</v>
      </c>
      <c r="P218" s="7" t="s">
        <v>42</v>
      </c>
      <c r="Q218" s="7" t="s">
        <v>43</v>
      </c>
      <c r="R218" s="7">
        <v>99999</v>
      </c>
      <c r="S218" s="7" t="s">
        <v>30</v>
      </c>
      <c r="T218" s="7" t="s">
        <v>48</v>
      </c>
      <c r="U218" s="7" t="s">
        <v>150</v>
      </c>
      <c r="V218" s="7" t="s">
        <v>151</v>
      </c>
      <c r="W218" s="7">
        <v>7</v>
      </c>
      <c r="X218" s="7">
        <v>76</v>
      </c>
      <c r="Y218" s="10">
        <v>532</v>
      </c>
      <c r="Z218" s="9">
        <v>53.732000000000006</v>
      </c>
    </row>
    <row r="219" spans="1:26" x14ac:dyDescent="0.35">
      <c r="A219" s="7">
        <v>1250</v>
      </c>
      <c r="B219" s="8">
        <v>41892</v>
      </c>
      <c r="C219" s="7">
        <v>10</v>
      </c>
      <c r="D219" s="7" t="s">
        <v>97</v>
      </c>
      <c r="E219" s="7" t="s">
        <v>98</v>
      </c>
      <c r="F219" s="7" t="s">
        <v>99</v>
      </c>
      <c r="G219" s="7" t="s">
        <v>100</v>
      </c>
      <c r="H219" s="7">
        <v>99999</v>
      </c>
      <c r="I219" s="7" t="s">
        <v>30</v>
      </c>
      <c r="J219" s="7" t="s">
        <v>101</v>
      </c>
      <c r="K219" s="7" t="s">
        <v>45</v>
      </c>
      <c r="L219" s="7">
        <v>41894</v>
      </c>
      <c r="M219" s="7" t="s">
        <v>46</v>
      </c>
      <c r="N219" s="7" t="s">
        <v>102</v>
      </c>
      <c r="O219" s="7" t="s">
        <v>98</v>
      </c>
      <c r="P219" s="7" t="s">
        <v>99</v>
      </c>
      <c r="Q219" s="7" t="s">
        <v>100</v>
      </c>
      <c r="R219" s="7">
        <v>99999</v>
      </c>
      <c r="S219" s="7" t="s">
        <v>30</v>
      </c>
      <c r="U219" s="7" t="s">
        <v>64</v>
      </c>
      <c r="V219" s="7" t="s">
        <v>65</v>
      </c>
      <c r="W219" s="7">
        <v>9.1999999999999993</v>
      </c>
      <c r="X219" s="7">
        <v>83</v>
      </c>
      <c r="Y219" s="10">
        <v>763.59999999999991</v>
      </c>
      <c r="Z219" s="9">
        <v>74.832799999999992</v>
      </c>
    </row>
    <row r="220" spans="1:26" x14ac:dyDescent="0.35">
      <c r="A220" s="7">
        <v>1251</v>
      </c>
      <c r="B220" s="8">
        <v>41893</v>
      </c>
      <c r="C220" s="7">
        <v>11</v>
      </c>
      <c r="D220" s="7" t="s">
        <v>113</v>
      </c>
      <c r="E220" s="7" t="s">
        <v>114</v>
      </c>
      <c r="F220" s="7" t="s">
        <v>115</v>
      </c>
      <c r="G220" s="7" t="s">
        <v>116</v>
      </c>
      <c r="H220" s="7">
        <v>99999</v>
      </c>
      <c r="I220" s="7" t="s">
        <v>30</v>
      </c>
      <c r="J220" s="7" t="s">
        <v>94</v>
      </c>
      <c r="K220" s="7" t="s">
        <v>95</v>
      </c>
      <c r="L220" s="8"/>
      <c r="M220" s="7" t="s">
        <v>62</v>
      </c>
      <c r="N220" s="7" t="s">
        <v>117</v>
      </c>
      <c r="O220" s="7" t="s">
        <v>114</v>
      </c>
      <c r="P220" s="7" t="s">
        <v>115</v>
      </c>
      <c r="Q220" s="7" t="s">
        <v>116</v>
      </c>
      <c r="R220" s="7">
        <v>99999</v>
      </c>
      <c r="S220" s="7" t="s">
        <v>30</v>
      </c>
      <c r="U220" s="7" t="s">
        <v>38</v>
      </c>
      <c r="V220" s="7" t="s">
        <v>39</v>
      </c>
      <c r="W220" s="7">
        <v>3.5</v>
      </c>
      <c r="X220" s="7">
        <v>91</v>
      </c>
      <c r="Y220" s="10">
        <v>318.5</v>
      </c>
      <c r="Z220" s="9">
        <v>31.213000000000001</v>
      </c>
    </row>
    <row r="221" spans="1:26" x14ac:dyDescent="0.35">
      <c r="A221" s="7">
        <v>1252</v>
      </c>
      <c r="B221" s="8">
        <v>41893</v>
      </c>
      <c r="C221" s="7">
        <v>11</v>
      </c>
      <c r="D221" s="7" t="s">
        <v>113</v>
      </c>
      <c r="E221" s="7" t="s">
        <v>114</v>
      </c>
      <c r="F221" s="7" t="s">
        <v>115</v>
      </c>
      <c r="G221" s="7" t="s">
        <v>116</v>
      </c>
      <c r="H221" s="7">
        <v>99999</v>
      </c>
      <c r="I221" s="7" t="s">
        <v>30</v>
      </c>
      <c r="J221" s="7" t="s">
        <v>94</v>
      </c>
      <c r="K221" s="7" t="s">
        <v>95</v>
      </c>
      <c r="L221" s="8"/>
      <c r="M221" s="7" t="s">
        <v>62</v>
      </c>
      <c r="N221" s="7" t="s">
        <v>117</v>
      </c>
      <c r="O221" s="7" t="s">
        <v>114</v>
      </c>
      <c r="P221" s="7" t="s">
        <v>115</v>
      </c>
      <c r="Q221" s="7" t="s">
        <v>116</v>
      </c>
      <c r="R221" s="7">
        <v>99999</v>
      </c>
      <c r="S221" s="7" t="s">
        <v>30</v>
      </c>
      <c r="U221" s="7" t="s">
        <v>103</v>
      </c>
      <c r="V221" s="7" t="s">
        <v>37</v>
      </c>
      <c r="W221" s="7">
        <v>2.99</v>
      </c>
      <c r="X221" s="7">
        <v>64</v>
      </c>
      <c r="Y221" s="10">
        <v>191.36</v>
      </c>
      <c r="Z221" s="9">
        <v>19.518720000000002</v>
      </c>
    </row>
    <row r="222" spans="1:26" x14ac:dyDescent="0.35">
      <c r="A222" s="7">
        <v>1253</v>
      </c>
      <c r="B222" s="8">
        <v>41883</v>
      </c>
      <c r="C222" s="7">
        <v>1</v>
      </c>
      <c r="D222" s="7" t="s">
        <v>118</v>
      </c>
      <c r="E222" s="7" t="s">
        <v>119</v>
      </c>
      <c r="F222" s="7" t="s">
        <v>120</v>
      </c>
      <c r="G222" s="7" t="s">
        <v>121</v>
      </c>
      <c r="H222" s="7">
        <v>99999</v>
      </c>
      <c r="I222" s="7" t="s">
        <v>30</v>
      </c>
      <c r="J222" s="7" t="s">
        <v>60</v>
      </c>
      <c r="K222" s="7" t="s">
        <v>61</v>
      </c>
      <c r="L222" s="8"/>
      <c r="N222" s="7" t="s">
        <v>122</v>
      </c>
      <c r="O222" s="7" t="s">
        <v>119</v>
      </c>
      <c r="P222" s="7" t="s">
        <v>120</v>
      </c>
      <c r="Q222" s="7" t="s">
        <v>121</v>
      </c>
      <c r="R222" s="7">
        <v>99999</v>
      </c>
      <c r="S222" s="7" t="s">
        <v>30</v>
      </c>
      <c r="U222" s="7" t="s">
        <v>54</v>
      </c>
      <c r="V222" s="7" t="s">
        <v>37</v>
      </c>
      <c r="W222" s="7">
        <v>18</v>
      </c>
      <c r="X222" s="7">
        <v>58</v>
      </c>
      <c r="Y222" s="10">
        <v>1044</v>
      </c>
      <c r="Z222" s="9">
        <v>103.35600000000001</v>
      </c>
    </row>
    <row r="223" spans="1:26" x14ac:dyDescent="0.35">
      <c r="A223" s="7">
        <v>1254</v>
      </c>
      <c r="B223" s="8">
        <v>41883</v>
      </c>
      <c r="C223" s="7">
        <v>1</v>
      </c>
      <c r="D223" s="7" t="s">
        <v>118</v>
      </c>
      <c r="E223" s="7" t="s">
        <v>119</v>
      </c>
      <c r="F223" s="7" t="s">
        <v>120</v>
      </c>
      <c r="G223" s="7" t="s">
        <v>121</v>
      </c>
      <c r="H223" s="7">
        <v>99999</v>
      </c>
      <c r="I223" s="7" t="s">
        <v>30</v>
      </c>
      <c r="J223" s="7" t="s">
        <v>60</v>
      </c>
      <c r="K223" s="7" t="s">
        <v>61</v>
      </c>
      <c r="L223" s="8"/>
      <c r="N223" s="7" t="s">
        <v>122</v>
      </c>
      <c r="O223" s="7" t="s">
        <v>119</v>
      </c>
      <c r="P223" s="7" t="s">
        <v>120</v>
      </c>
      <c r="Q223" s="7" t="s">
        <v>121</v>
      </c>
      <c r="R223" s="7">
        <v>99999</v>
      </c>
      <c r="S223" s="7" t="s">
        <v>30</v>
      </c>
      <c r="U223" s="7" t="s">
        <v>55</v>
      </c>
      <c r="V223" s="7" t="s">
        <v>37</v>
      </c>
      <c r="W223" s="9">
        <v>46</v>
      </c>
      <c r="X223" s="7">
        <v>97</v>
      </c>
      <c r="Y223" s="10">
        <v>4462</v>
      </c>
      <c r="Z223" s="9">
        <v>464.04800000000006</v>
      </c>
    </row>
    <row r="224" spans="1:26" x14ac:dyDescent="0.35">
      <c r="A224" s="7">
        <v>1255</v>
      </c>
      <c r="B224" s="8">
        <v>41883</v>
      </c>
      <c r="C224" s="7">
        <v>1</v>
      </c>
      <c r="D224" s="7" t="s">
        <v>118</v>
      </c>
      <c r="E224" s="7" t="s">
        <v>119</v>
      </c>
      <c r="F224" s="7" t="s">
        <v>120</v>
      </c>
      <c r="G224" s="7" t="s">
        <v>121</v>
      </c>
      <c r="H224" s="7">
        <v>99999</v>
      </c>
      <c r="I224" s="7" t="s">
        <v>30</v>
      </c>
      <c r="J224" s="7" t="s">
        <v>60</v>
      </c>
      <c r="K224" s="7" t="s">
        <v>61</v>
      </c>
      <c r="L224" s="8"/>
      <c r="N224" s="7" t="s">
        <v>122</v>
      </c>
      <c r="O224" s="7" t="s">
        <v>119</v>
      </c>
      <c r="P224" s="7" t="s">
        <v>120</v>
      </c>
      <c r="Q224" s="7" t="s">
        <v>121</v>
      </c>
      <c r="R224" s="7">
        <v>99999</v>
      </c>
      <c r="S224" s="7" t="s">
        <v>30</v>
      </c>
      <c r="U224" s="7" t="s">
        <v>103</v>
      </c>
      <c r="V224" s="7" t="s">
        <v>37</v>
      </c>
      <c r="W224" s="9">
        <v>2.99</v>
      </c>
      <c r="X224" s="7">
        <v>14</v>
      </c>
      <c r="Y224" s="10">
        <v>41.86</v>
      </c>
      <c r="Z224" s="9">
        <v>4.35344</v>
      </c>
    </row>
    <row r="225" spans="1:26" x14ac:dyDescent="0.35">
      <c r="A225" s="7">
        <v>1256</v>
      </c>
      <c r="B225" s="8">
        <v>41910</v>
      </c>
      <c r="C225" s="7">
        <v>28</v>
      </c>
      <c r="D225" s="7" t="s">
        <v>90</v>
      </c>
      <c r="E225" s="7" t="s">
        <v>91</v>
      </c>
      <c r="F225" s="7" t="s">
        <v>92</v>
      </c>
      <c r="G225" s="7" t="s">
        <v>93</v>
      </c>
      <c r="H225" s="7">
        <v>99999</v>
      </c>
      <c r="I225" s="7" t="s">
        <v>30</v>
      </c>
      <c r="J225" s="7" t="s">
        <v>94</v>
      </c>
      <c r="K225" s="7" t="s">
        <v>95</v>
      </c>
      <c r="L225" s="8">
        <v>41912</v>
      </c>
      <c r="M225" s="7" t="s">
        <v>62</v>
      </c>
      <c r="N225" s="7" t="s">
        <v>96</v>
      </c>
      <c r="O225" s="7" t="s">
        <v>91</v>
      </c>
      <c r="P225" s="7" t="s">
        <v>92</v>
      </c>
      <c r="Q225" s="7" t="s">
        <v>93</v>
      </c>
      <c r="R225" s="7">
        <v>99999</v>
      </c>
      <c r="S225" s="7" t="s">
        <v>30</v>
      </c>
      <c r="T225" s="7" t="s">
        <v>48</v>
      </c>
      <c r="U225" s="7" t="s">
        <v>80</v>
      </c>
      <c r="V225" s="7" t="s">
        <v>81</v>
      </c>
      <c r="W225" s="9">
        <v>9.65</v>
      </c>
      <c r="X225" s="7">
        <v>68</v>
      </c>
      <c r="Y225" s="10">
        <v>656.2</v>
      </c>
      <c r="Z225" s="9">
        <v>64.307600000000008</v>
      </c>
    </row>
    <row r="226" spans="1:26" x14ac:dyDescent="0.35">
      <c r="A226" s="7">
        <v>1257</v>
      </c>
      <c r="B226" s="8">
        <v>41910</v>
      </c>
      <c r="C226" s="7">
        <v>28</v>
      </c>
      <c r="D226" s="7" t="s">
        <v>90</v>
      </c>
      <c r="E226" s="7" t="s">
        <v>91</v>
      </c>
      <c r="F226" s="7" t="s">
        <v>92</v>
      </c>
      <c r="G226" s="7" t="s">
        <v>93</v>
      </c>
      <c r="H226" s="7">
        <v>99999</v>
      </c>
      <c r="I226" s="7" t="s">
        <v>30</v>
      </c>
      <c r="J226" s="7" t="s">
        <v>94</v>
      </c>
      <c r="K226" s="7" t="s">
        <v>95</v>
      </c>
      <c r="L226" s="7">
        <v>41912</v>
      </c>
      <c r="M226" s="7" t="s">
        <v>62</v>
      </c>
      <c r="N226" s="7" t="s">
        <v>96</v>
      </c>
      <c r="O226" s="7" t="s">
        <v>91</v>
      </c>
      <c r="P226" s="7" t="s">
        <v>92</v>
      </c>
      <c r="Q226" s="7" t="s">
        <v>93</v>
      </c>
      <c r="R226" s="7">
        <v>99999</v>
      </c>
      <c r="S226" s="7" t="s">
        <v>30</v>
      </c>
      <c r="T226" s="7" t="s">
        <v>48</v>
      </c>
      <c r="U226" s="7" t="s">
        <v>123</v>
      </c>
      <c r="V226" s="7" t="s">
        <v>124</v>
      </c>
      <c r="W226" s="9">
        <v>18.399999999999999</v>
      </c>
      <c r="X226" s="7">
        <v>32</v>
      </c>
      <c r="Y226" s="10">
        <v>588.79999999999995</v>
      </c>
      <c r="Z226" s="9">
        <v>58.879999999999995</v>
      </c>
    </row>
    <row r="227" spans="1:26" x14ac:dyDescent="0.35">
      <c r="A227" s="7">
        <v>1258</v>
      </c>
      <c r="B227" s="8">
        <v>41891</v>
      </c>
      <c r="C227" s="7">
        <v>9</v>
      </c>
      <c r="D227" s="7" t="s">
        <v>125</v>
      </c>
      <c r="E227" s="7" t="s">
        <v>126</v>
      </c>
      <c r="F227" s="7" t="s">
        <v>127</v>
      </c>
      <c r="G227" s="7" t="s">
        <v>128</v>
      </c>
      <c r="H227" s="7">
        <v>99999</v>
      </c>
      <c r="I227" s="7" t="s">
        <v>30</v>
      </c>
      <c r="J227" s="7" t="s">
        <v>129</v>
      </c>
      <c r="K227" s="7" t="s">
        <v>32</v>
      </c>
      <c r="L227" s="8">
        <v>41893</v>
      </c>
      <c r="M227" s="7" t="s">
        <v>46</v>
      </c>
      <c r="N227" s="7" t="s">
        <v>130</v>
      </c>
      <c r="O227" s="7" t="s">
        <v>126</v>
      </c>
      <c r="P227" s="7" t="s">
        <v>127</v>
      </c>
      <c r="Q227" s="7" t="s">
        <v>128</v>
      </c>
      <c r="R227" s="7">
        <v>99999</v>
      </c>
      <c r="S227" s="7" t="s">
        <v>30</v>
      </c>
      <c r="T227" s="7" t="s">
        <v>35</v>
      </c>
      <c r="U227" s="7" t="s">
        <v>131</v>
      </c>
      <c r="V227" s="7" t="s">
        <v>132</v>
      </c>
      <c r="W227" s="9">
        <v>19.5</v>
      </c>
      <c r="X227" s="7">
        <v>48</v>
      </c>
      <c r="Y227" s="10">
        <v>936</v>
      </c>
      <c r="Z227" s="9">
        <v>94.536000000000016</v>
      </c>
    </row>
    <row r="228" spans="1:26" x14ac:dyDescent="0.35">
      <c r="A228" s="7">
        <v>1259</v>
      </c>
      <c r="B228" s="8">
        <v>41891</v>
      </c>
      <c r="C228" s="7">
        <v>9</v>
      </c>
      <c r="D228" s="7" t="s">
        <v>125</v>
      </c>
      <c r="E228" s="7" t="s">
        <v>126</v>
      </c>
      <c r="F228" s="7" t="s">
        <v>127</v>
      </c>
      <c r="G228" s="7" t="s">
        <v>128</v>
      </c>
      <c r="H228" s="7">
        <v>99999</v>
      </c>
      <c r="I228" s="7" t="s">
        <v>30</v>
      </c>
      <c r="J228" s="7" t="s">
        <v>129</v>
      </c>
      <c r="K228" s="7" t="s">
        <v>32</v>
      </c>
      <c r="L228" s="8">
        <v>41893</v>
      </c>
      <c r="M228" s="7" t="s">
        <v>46</v>
      </c>
      <c r="N228" s="7" t="s">
        <v>130</v>
      </c>
      <c r="O228" s="7" t="s">
        <v>126</v>
      </c>
      <c r="P228" s="7" t="s">
        <v>127</v>
      </c>
      <c r="Q228" s="7" t="s">
        <v>128</v>
      </c>
      <c r="R228" s="7">
        <v>99999</v>
      </c>
      <c r="S228" s="7" t="s">
        <v>30</v>
      </c>
      <c r="T228" s="7" t="s">
        <v>35</v>
      </c>
      <c r="U228" s="7" t="s">
        <v>133</v>
      </c>
      <c r="V228" s="7" t="s">
        <v>134</v>
      </c>
      <c r="W228" s="9">
        <v>34.799999999999997</v>
      </c>
      <c r="X228" s="7">
        <v>57</v>
      </c>
      <c r="Y228" s="10">
        <v>1983.6</v>
      </c>
      <c r="Z228" s="9">
        <v>194.39280000000002</v>
      </c>
    </row>
    <row r="229" spans="1:26" x14ac:dyDescent="0.35">
      <c r="A229" s="7">
        <v>1260</v>
      </c>
      <c r="B229" s="8">
        <v>41888</v>
      </c>
      <c r="C229" s="7">
        <v>6</v>
      </c>
      <c r="D229" s="7" t="s">
        <v>82</v>
      </c>
      <c r="E229" s="7" t="s">
        <v>83</v>
      </c>
      <c r="F229" s="7" t="s">
        <v>84</v>
      </c>
      <c r="G229" s="7" t="s">
        <v>85</v>
      </c>
      <c r="H229" s="7">
        <v>99999</v>
      </c>
      <c r="I229" s="7" t="s">
        <v>30</v>
      </c>
      <c r="J229" s="7" t="s">
        <v>86</v>
      </c>
      <c r="K229" s="7" t="s">
        <v>61</v>
      </c>
      <c r="L229" s="8">
        <v>41890</v>
      </c>
      <c r="M229" s="7" t="s">
        <v>33</v>
      </c>
      <c r="N229" s="7" t="s">
        <v>87</v>
      </c>
      <c r="O229" s="7" t="s">
        <v>83</v>
      </c>
      <c r="P229" s="7" t="s">
        <v>84</v>
      </c>
      <c r="Q229" s="7" t="s">
        <v>85</v>
      </c>
      <c r="R229" s="7">
        <v>99999</v>
      </c>
      <c r="S229" s="7" t="s">
        <v>30</v>
      </c>
      <c r="T229" s="7" t="s">
        <v>48</v>
      </c>
      <c r="U229" s="7" t="s">
        <v>36</v>
      </c>
      <c r="V229" s="7" t="s">
        <v>37</v>
      </c>
      <c r="W229" s="9">
        <v>14</v>
      </c>
      <c r="X229" s="7">
        <v>67</v>
      </c>
      <c r="Y229" s="10">
        <v>938</v>
      </c>
      <c r="Z229" s="9">
        <v>98.490000000000009</v>
      </c>
    </row>
    <row r="230" spans="1:26" x14ac:dyDescent="0.35">
      <c r="A230" s="7">
        <v>1261</v>
      </c>
      <c r="B230" s="8">
        <v>41890</v>
      </c>
      <c r="C230" s="7">
        <v>8</v>
      </c>
      <c r="D230" s="7" t="s">
        <v>56</v>
      </c>
      <c r="E230" s="7" t="s">
        <v>57</v>
      </c>
      <c r="F230" s="7" t="s">
        <v>58</v>
      </c>
      <c r="G230" s="7" t="s">
        <v>59</v>
      </c>
      <c r="H230" s="7">
        <v>99999</v>
      </c>
      <c r="I230" s="7" t="s">
        <v>30</v>
      </c>
      <c r="J230" s="7" t="s">
        <v>60</v>
      </c>
      <c r="K230" s="7" t="s">
        <v>61</v>
      </c>
      <c r="L230" s="7">
        <v>41892</v>
      </c>
      <c r="M230" s="7" t="s">
        <v>33</v>
      </c>
      <c r="N230" s="7" t="s">
        <v>63</v>
      </c>
      <c r="O230" s="7" t="s">
        <v>57</v>
      </c>
      <c r="P230" s="7" t="s">
        <v>58</v>
      </c>
      <c r="Q230" s="7" t="s">
        <v>59</v>
      </c>
      <c r="R230" s="7">
        <v>99999</v>
      </c>
      <c r="S230" s="7" t="s">
        <v>30</v>
      </c>
      <c r="T230" s="7" t="s">
        <v>35</v>
      </c>
      <c r="U230" s="7" t="s">
        <v>88</v>
      </c>
      <c r="V230" s="7" t="s">
        <v>89</v>
      </c>
      <c r="W230" s="9">
        <v>40</v>
      </c>
      <c r="X230" s="7">
        <v>48</v>
      </c>
      <c r="Y230" s="10">
        <v>1920</v>
      </c>
      <c r="Z230" s="9">
        <v>188.16</v>
      </c>
    </row>
    <row r="231" spans="1:26" x14ac:dyDescent="0.35">
      <c r="A231" s="7">
        <v>1262</v>
      </c>
      <c r="B231" s="8">
        <v>41890</v>
      </c>
      <c r="C231" s="7">
        <v>8</v>
      </c>
      <c r="D231" s="7" t="s">
        <v>56</v>
      </c>
      <c r="E231" s="7" t="s">
        <v>57</v>
      </c>
      <c r="F231" s="7" t="s">
        <v>58</v>
      </c>
      <c r="G231" s="7" t="s">
        <v>59</v>
      </c>
      <c r="H231" s="7">
        <v>99999</v>
      </c>
      <c r="I231" s="7" t="s">
        <v>30</v>
      </c>
      <c r="J231" s="7" t="s">
        <v>60</v>
      </c>
      <c r="K231" s="7" t="s">
        <v>61</v>
      </c>
      <c r="L231" s="7">
        <v>41892</v>
      </c>
      <c r="M231" s="7" t="s">
        <v>33</v>
      </c>
      <c r="N231" s="7" t="s">
        <v>63</v>
      </c>
      <c r="O231" s="7" t="s">
        <v>57</v>
      </c>
      <c r="P231" s="7" t="s">
        <v>58</v>
      </c>
      <c r="Q231" s="7" t="s">
        <v>59</v>
      </c>
      <c r="R231" s="7">
        <v>99999</v>
      </c>
      <c r="S231" s="7" t="s">
        <v>30</v>
      </c>
      <c r="T231" s="7" t="s">
        <v>35</v>
      </c>
      <c r="U231" s="7" t="s">
        <v>64</v>
      </c>
      <c r="V231" s="7" t="s">
        <v>65</v>
      </c>
      <c r="W231" s="9">
        <v>9.1999999999999993</v>
      </c>
      <c r="X231" s="7">
        <v>77</v>
      </c>
      <c r="Y231" s="10">
        <v>708.4</v>
      </c>
      <c r="Z231" s="9">
        <v>72.256799999999998</v>
      </c>
    </row>
    <row r="232" spans="1:26" x14ac:dyDescent="0.35">
      <c r="A232" s="7">
        <v>1263</v>
      </c>
      <c r="B232" s="8">
        <v>41907</v>
      </c>
      <c r="C232" s="7">
        <v>25</v>
      </c>
      <c r="D232" s="7" t="s">
        <v>137</v>
      </c>
      <c r="E232" s="7" t="s">
        <v>138</v>
      </c>
      <c r="F232" s="7" t="s">
        <v>99</v>
      </c>
      <c r="G232" s="7" t="s">
        <v>100</v>
      </c>
      <c r="H232" s="7">
        <v>99999</v>
      </c>
      <c r="I232" s="7" t="s">
        <v>30</v>
      </c>
      <c r="J232" s="7" t="s">
        <v>101</v>
      </c>
      <c r="K232" s="7" t="s">
        <v>45</v>
      </c>
      <c r="L232" s="7">
        <v>41909</v>
      </c>
      <c r="M232" s="7" t="s">
        <v>46</v>
      </c>
      <c r="N232" s="7" t="s">
        <v>139</v>
      </c>
      <c r="O232" s="7" t="s">
        <v>138</v>
      </c>
      <c r="P232" s="7" t="s">
        <v>99</v>
      </c>
      <c r="Q232" s="7" t="s">
        <v>100</v>
      </c>
      <c r="R232" s="7">
        <v>99999</v>
      </c>
      <c r="S232" s="7" t="s">
        <v>30</v>
      </c>
      <c r="T232" s="7" t="s">
        <v>79</v>
      </c>
      <c r="U232" s="7" t="s">
        <v>146</v>
      </c>
      <c r="V232" s="7" t="s">
        <v>65</v>
      </c>
      <c r="W232" s="9">
        <v>10</v>
      </c>
      <c r="X232" s="7">
        <v>94</v>
      </c>
      <c r="Y232" s="10">
        <v>940</v>
      </c>
      <c r="Z232" s="9">
        <v>97.76</v>
      </c>
    </row>
    <row r="233" spans="1:26" x14ac:dyDescent="0.35">
      <c r="A233" s="7">
        <v>1264</v>
      </c>
      <c r="B233" s="8">
        <v>41908</v>
      </c>
      <c r="C233" s="7">
        <v>26</v>
      </c>
      <c r="D233" s="7" t="s">
        <v>140</v>
      </c>
      <c r="E233" s="7" t="s">
        <v>141</v>
      </c>
      <c r="F233" s="7" t="s">
        <v>115</v>
      </c>
      <c r="G233" s="7" t="s">
        <v>116</v>
      </c>
      <c r="H233" s="7">
        <v>99999</v>
      </c>
      <c r="I233" s="7" t="s">
        <v>30</v>
      </c>
      <c r="J233" s="7" t="s">
        <v>94</v>
      </c>
      <c r="K233" s="7" t="s">
        <v>95</v>
      </c>
      <c r="L233" s="7">
        <v>41910</v>
      </c>
      <c r="M233" s="7" t="s">
        <v>62</v>
      </c>
      <c r="N233" s="7" t="s">
        <v>142</v>
      </c>
      <c r="O233" s="7" t="s">
        <v>141</v>
      </c>
      <c r="P233" s="7" t="s">
        <v>115</v>
      </c>
      <c r="Q233" s="7" t="s">
        <v>116</v>
      </c>
      <c r="R233" s="7">
        <v>99999</v>
      </c>
      <c r="S233" s="7" t="s">
        <v>30</v>
      </c>
      <c r="T233" s="7" t="s">
        <v>48</v>
      </c>
      <c r="U233" s="7" t="s">
        <v>147</v>
      </c>
      <c r="V233" s="7" t="s">
        <v>148</v>
      </c>
      <c r="W233" s="9">
        <v>21.35</v>
      </c>
      <c r="X233" s="7">
        <v>54</v>
      </c>
      <c r="Y233" s="10">
        <v>1152.9000000000001</v>
      </c>
      <c r="Z233" s="9">
        <v>121.05450000000003</v>
      </c>
    </row>
    <row r="234" spans="1:26" x14ac:dyDescent="0.35">
      <c r="A234" s="7">
        <v>1265</v>
      </c>
      <c r="B234" s="8">
        <v>41908</v>
      </c>
      <c r="C234" s="7">
        <v>26</v>
      </c>
      <c r="D234" s="7" t="s">
        <v>140</v>
      </c>
      <c r="E234" s="7" t="s">
        <v>141</v>
      </c>
      <c r="F234" s="7" t="s">
        <v>115</v>
      </c>
      <c r="G234" s="7" t="s">
        <v>116</v>
      </c>
      <c r="H234" s="7">
        <v>99999</v>
      </c>
      <c r="I234" s="7" t="s">
        <v>30</v>
      </c>
      <c r="J234" s="7" t="s">
        <v>94</v>
      </c>
      <c r="K234" s="7" t="s">
        <v>95</v>
      </c>
      <c r="L234" s="7">
        <v>41910</v>
      </c>
      <c r="M234" s="7" t="s">
        <v>62</v>
      </c>
      <c r="N234" s="7" t="s">
        <v>142</v>
      </c>
      <c r="O234" s="7" t="s">
        <v>141</v>
      </c>
      <c r="P234" s="7" t="s">
        <v>115</v>
      </c>
      <c r="Q234" s="7" t="s">
        <v>116</v>
      </c>
      <c r="R234" s="7">
        <v>99999</v>
      </c>
      <c r="S234" s="7" t="s">
        <v>30</v>
      </c>
      <c r="T234" s="7" t="s">
        <v>48</v>
      </c>
      <c r="U234" s="7" t="s">
        <v>80</v>
      </c>
      <c r="V234" s="7" t="s">
        <v>81</v>
      </c>
      <c r="W234" s="9">
        <v>9.65</v>
      </c>
      <c r="X234" s="7">
        <v>43</v>
      </c>
      <c r="Y234" s="10">
        <v>414.95</v>
      </c>
      <c r="Z234" s="9">
        <v>40.250150000000005</v>
      </c>
    </row>
    <row r="235" spans="1:26" x14ac:dyDescent="0.35">
      <c r="A235" s="7">
        <v>1266</v>
      </c>
      <c r="B235" s="8">
        <v>41908</v>
      </c>
      <c r="C235" s="7">
        <v>26</v>
      </c>
      <c r="D235" s="7" t="s">
        <v>140</v>
      </c>
      <c r="E235" s="7" t="s">
        <v>141</v>
      </c>
      <c r="F235" s="7" t="s">
        <v>115</v>
      </c>
      <c r="G235" s="7" t="s">
        <v>116</v>
      </c>
      <c r="H235" s="7">
        <v>99999</v>
      </c>
      <c r="I235" s="7" t="s">
        <v>30</v>
      </c>
      <c r="J235" s="7" t="s">
        <v>94</v>
      </c>
      <c r="K235" s="7" t="s">
        <v>95</v>
      </c>
      <c r="L235" s="8">
        <v>41910</v>
      </c>
      <c r="M235" s="7" t="s">
        <v>62</v>
      </c>
      <c r="N235" s="7" t="s">
        <v>142</v>
      </c>
      <c r="O235" s="7" t="s">
        <v>141</v>
      </c>
      <c r="P235" s="7" t="s">
        <v>115</v>
      </c>
      <c r="Q235" s="7" t="s">
        <v>116</v>
      </c>
      <c r="R235" s="7">
        <v>99999</v>
      </c>
      <c r="S235" s="7" t="s">
        <v>30</v>
      </c>
      <c r="T235" s="7" t="s">
        <v>48</v>
      </c>
      <c r="U235" s="7" t="s">
        <v>123</v>
      </c>
      <c r="V235" s="7" t="s">
        <v>124</v>
      </c>
      <c r="W235" s="9">
        <v>18.399999999999999</v>
      </c>
      <c r="X235" s="7">
        <v>71</v>
      </c>
      <c r="Y235" s="10">
        <v>1306.3999999999999</v>
      </c>
      <c r="Z235" s="9">
        <v>134.55919999999998</v>
      </c>
    </row>
    <row r="236" spans="1:26" x14ac:dyDescent="0.35">
      <c r="A236" s="7">
        <v>1267</v>
      </c>
      <c r="B236" s="8">
        <v>41911</v>
      </c>
      <c r="C236" s="7">
        <v>29</v>
      </c>
      <c r="D236" s="7" t="s">
        <v>66</v>
      </c>
      <c r="E236" s="7" t="s">
        <v>67</v>
      </c>
      <c r="F236" s="7" t="s">
        <v>68</v>
      </c>
      <c r="G236" s="7" t="s">
        <v>69</v>
      </c>
      <c r="H236" s="7">
        <v>99999</v>
      </c>
      <c r="I236" s="7" t="s">
        <v>30</v>
      </c>
      <c r="J236" s="7" t="s">
        <v>70</v>
      </c>
      <c r="K236" s="7" t="s">
        <v>32</v>
      </c>
      <c r="L236" s="8">
        <v>41913</v>
      </c>
      <c r="M236" s="7" t="s">
        <v>33</v>
      </c>
      <c r="N236" s="7" t="s">
        <v>71</v>
      </c>
      <c r="O236" s="7" t="s">
        <v>67</v>
      </c>
      <c r="P236" s="7" t="s">
        <v>68</v>
      </c>
      <c r="Q236" s="7" t="s">
        <v>69</v>
      </c>
      <c r="R236" s="7">
        <v>99999</v>
      </c>
      <c r="S236" s="7" t="s">
        <v>30</v>
      </c>
      <c r="T236" s="7" t="s">
        <v>35</v>
      </c>
      <c r="U236" s="7" t="s">
        <v>36</v>
      </c>
      <c r="V236" s="7" t="s">
        <v>37</v>
      </c>
      <c r="W236" s="9">
        <v>14</v>
      </c>
      <c r="X236" s="7">
        <v>50</v>
      </c>
      <c r="Y236" s="10">
        <v>700</v>
      </c>
      <c r="Z236" s="9">
        <v>67.2</v>
      </c>
    </row>
    <row r="237" spans="1:26" x14ac:dyDescent="0.35">
      <c r="A237" s="7">
        <v>1268</v>
      </c>
      <c r="B237" s="8">
        <v>41888</v>
      </c>
      <c r="C237" s="7">
        <v>6</v>
      </c>
      <c r="D237" s="7" t="s">
        <v>82</v>
      </c>
      <c r="E237" s="7" t="s">
        <v>83</v>
      </c>
      <c r="F237" s="7" t="s">
        <v>84</v>
      </c>
      <c r="G237" s="7" t="s">
        <v>85</v>
      </c>
      <c r="H237" s="7">
        <v>99999</v>
      </c>
      <c r="I237" s="7" t="s">
        <v>30</v>
      </c>
      <c r="J237" s="7" t="s">
        <v>86</v>
      </c>
      <c r="K237" s="7" t="s">
        <v>61</v>
      </c>
      <c r="L237" s="8">
        <v>41890</v>
      </c>
      <c r="M237" s="7" t="s">
        <v>62</v>
      </c>
      <c r="N237" s="7" t="s">
        <v>87</v>
      </c>
      <c r="O237" s="7" t="s">
        <v>83</v>
      </c>
      <c r="P237" s="7" t="s">
        <v>84</v>
      </c>
      <c r="Q237" s="7" t="s">
        <v>85</v>
      </c>
      <c r="R237" s="7">
        <v>99999</v>
      </c>
      <c r="S237" s="7" t="s">
        <v>30</v>
      </c>
      <c r="T237" s="7" t="s">
        <v>35</v>
      </c>
      <c r="U237" s="7" t="s">
        <v>72</v>
      </c>
      <c r="V237" s="7" t="s">
        <v>73</v>
      </c>
      <c r="W237" s="9">
        <v>12.75</v>
      </c>
      <c r="X237" s="7">
        <v>96</v>
      </c>
      <c r="Y237" s="10">
        <v>1224</v>
      </c>
      <c r="Z237" s="9">
        <v>119.952</v>
      </c>
    </row>
    <row r="238" spans="1:26" x14ac:dyDescent="0.35">
      <c r="A238" s="7">
        <v>1270</v>
      </c>
      <c r="B238" s="8">
        <v>41886</v>
      </c>
      <c r="C238" s="7">
        <v>4</v>
      </c>
      <c r="D238" s="7" t="s">
        <v>40</v>
      </c>
      <c r="E238" s="7" t="s">
        <v>41</v>
      </c>
      <c r="F238" s="7" t="s">
        <v>42</v>
      </c>
      <c r="G238" s="7" t="s">
        <v>43</v>
      </c>
      <c r="H238" s="7">
        <v>99999</v>
      </c>
      <c r="I238" s="7" t="s">
        <v>30</v>
      </c>
      <c r="J238" s="7" t="s">
        <v>44</v>
      </c>
      <c r="K238" s="7" t="s">
        <v>45</v>
      </c>
      <c r="L238" s="8">
        <v>41888</v>
      </c>
      <c r="M238" s="7" t="s">
        <v>46</v>
      </c>
      <c r="N238" s="7" t="s">
        <v>47</v>
      </c>
      <c r="O238" s="7" t="s">
        <v>41</v>
      </c>
      <c r="P238" s="7" t="s">
        <v>42</v>
      </c>
      <c r="Q238" s="7" t="s">
        <v>43</v>
      </c>
      <c r="R238" s="7">
        <v>99999</v>
      </c>
      <c r="S238" s="7" t="s">
        <v>30</v>
      </c>
      <c r="T238" s="7" t="s">
        <v>48</v>
      </c>
      <c r="U238" s="7" t="s">
        <v>149</v>
      </c>
      <c r="V238" s="7" t="s">
        <v>110</v>
      </c>
      <c r="W238" s="9">
        <v>81</v>
      </c>
      <c r="X238" s="7">
        <v>54</v>
      </c>
      <c r="Y238" s="10">
        <v>4374</v>
      </c>
      <c r="Z238" s="9">
        <v>437.40000000000003</v>
      </c>
    </row>
    <row r="239" spans="1:26" x14ac:dyDescent="0.35">
      <c r="A239" s="7">
        <v>1271</v>
      </c>
      <c r="B239" s="8">
        <v>41886</v>
      </c>
      <c r="C239" s="7">
        <v>4</v>
      </c>
      <c r="D239" s="7" t="s">
        <v>40</v>
      </c>
      <c r="E239" s="7" t="s">
        <v>41</v>
      </c>
      <c r="F239" s="7" t="s">
        <v>42</v>
      </c>
      <c r="G239" s="7" t="s">
        <v>43</v>
      </c>
      <c r="H239" s="7">
        <v>99999</v>
      </c>
      <c r="I239" s="7" t="s">
        <v>30</v>
      </c>
      <c r="J239" s="7" t="s">
        <v>44</v>
      </c>
      <c r="K239" s="7" t="s">
        <v>45</v>
      </c>
      <c r="L239" s="8">
        <v>41888</v>
      </c>
      <c r="M239" s="7" t="s">
        <v>46</v>
      </c>
      <c r="N239" s="7" t="s">
        <v>47</v>
      </c>
      <c r="O239" s="7" t="s">
        <v>41</v>
      </c>
      <c r="P239" s="7" t="s">
        <v>42</v>
      </c>
      <c r="Q239" s="7" t="s">
        <v>43</v>
      </c>
      <c r="R239" s="7">
        <v>99999</v>
      </c>
      <c r="S239" s="7" t="s">
        <v>30</v>
      </c>
      <c r="T239" s="7" t="s">
        <v>48</v>
      </c>
      <c r="U239" s="7" t="s">
        <v>150</v>
      </c>
      <c r="V239" s="7" t="s">
        <v>151</v>
      </c>
      <c r="W239" s="9">
        <v>7</v>
      </c>
      <c r="X239" s="7">
        <v>39</v>
      </c>
      <c r="Y239" s="10">
        <v>273</v>
      </c>
      <c r="Z239" s="9">
        <v>27.3</v>
      </c>
    </row>
    <row r="240" spans="1:26" x14ac:dyDescent="0.35">
      <c r="A240" s="7">
        <v>1273</v>
      </c>
      <c r="B240" s="8">
        <v>41890</v>
      </c>
      <c r="C240" s="7">
        <v>8</v>
      </c>
      <c r="D240" s="7" t="s">
        <v>56</v>
      </c>
      <c r="E240" s="7" t="s">
        <v>57</v>
      </c>
      <c r="F240" s="7" t="s">
        <v>58</v>
      </c>
      <c r="G240" s="7" t="s">
        <v>59</v>
      </c>
      <c r="H240" s="7">
        <v>99999</v>
      </c>
      <c r="I240" s="7" t="s">
        <v>30</v>
      </c>
      <c r="J240" s="7" t="s">
        <v>60</v>
      </c>
      <c r="K240" s="7" t="s">
        <v>61</v>
      </c>
      <c r="L240" s="8">
        <v>41892</v>
      </c>
      <c r="M240" s="7" t="s">
        <v>62</v>
      </c>
      <c r="N240" s="7" t="s">
        <v>63</v>
      </c>
      <c r="O240" s="7" t="s">
        <v>57</v>
      </c>
      <c r="P240" s="7" t="s">
        <v>58</v>
      </c>
      <c r="Q240" s="7" t="s">
        <v>59</v>
      </c>
      <c r="R240" s="7">
        <v>99999</v>
      </c>
      <c r="S240" s="7" t="s">
        <v>30</v>
      </c>
      <c r="T240" s="7" t="s">
        <v>48</v>
      </c>
      <c r="U240" s="7" t="s">
        <v>133</v>
      </c>
      <c r="V240" s="7" t="s">
        <v>134</v>
      </c>
      <c r="W240" s="9">
        <v>34.799999999999997</v>
      </c>
      <c r="X240" s="7">
        <v>63</v>
      </c>
      <c r="Y240" s="10">
        <v>2192.3999999999996</v>
      </c>
      <c r="Z240" s="9">
        <v>230.202</v>
      </c>
    </row>
    <row r="241" spans="1:26" x14ac:dyDescent="0.35">
      <c r="A241" s="7">
        <v>1276</v>
      </c>
      <c r="B241" s="8">
        <v>41885</v>
      </c>
      <c r="C241" s="7">
        <v>3</v>
      </c>
      <c r="D241" s="7" t="s">
        <v>74</v>
      </c>
      <c r="E241" s="7" t="s">
        <v>75</v>
      </c>
      <c r="F241" s="7" t="s">
        <v>76</v>
      </c>
      <c r="G241" s="7" t="s">
        <v>77</v>
      </c>
      <c r="H241" s="7">
        <v>99999</v>
      </c>
      <c r="I241" s="7" t="s">
        <v>30</v>
      </c>
      <c r="J241" s="7" t="s">
        <v>31</v>
      </c>
      <c r="K241" s="7" t="s">
        <v>32</v>
      </c>
      <c r="L241" s="8">
        <v>41887</v>
      </c>
      <c r="M241" s="7" t="s">
        <v>33</v>
      </c>
      <c r="N241" s="7" t="s">
        <v>78</v>
      </c>
      <c r="O241" s="7" t="s">
        <v>75</v>
      </c>
      <c r="P241" s="7" t="s">
        <v>76</v>
      </c>
      <c r="Q241" s="7" t="s">
        <v>77</v>
      </c>
      <c r="R241" s="7">
        <v>99999</v>
      </c>
      <c r="S241" s="7" t="s">
        <v>30</v>
      </c>
      <c r="T241" s="7" t="s">
        <v>79</v>
      </c>
      <c r="U241" s="7" t="s">
        <v>135</v>
      </c>
      <c r="V241" s="7" t="s">
        <v>112</v>
      </c>
      <c r="W241" s="9">
        <v>10</v>
      </c>
      <c r="X241" s="7">
        <v>71</v>
      </c>
      <c r="Y241" s="10">
        <v>710</v>
      </c>
      <c r="Z241" s="9">
        <v>73.13</v>
      </c>
    </row>
    <row r="242" spans="1:26" x14ac:dyDescent="0.35">
      <c r="A242" s="7">
        <v>1277</v>
      </c>
      <c r="B242" s="8">
        <v>41885</v>
      </c>
      <c r="C242" s="7">
        <v>3</v>
      </c>
      <c r="D242" s="7" t="s">
        <v>74</v>
      </c>
      <c r="E242" s="7" t="s">
        <v>75</v>
      </c>
      <c r="F242" s="7" t="s">
        <v>76</v>
      </c>
      <c r="G242" s="7" t="s">
        <v>77</v>
      </c>
      <c r="H242" s="7">
        <v>99999</v>
      </c>
      <c r="I242" s="7" t="s">
        <v>30</v>
      </c>
      <c r="J242" s="7" t="s">
        <v>31</v>
      </c>
      <c r="K242" s="7" t="s">
        <v>32</v>
      </c>
      <c r="L242" s="8">
        <v>41887</v>
      </c>
      <c r="M242" s="7" t="s">
        <v>33</v>
      </c>
      <c r="N242" s="7" t="s">
        <v>78</v>
      </c>
      <c r="O242" s="7" t="s">
        <v>75</v>
      </c>
      <c r="P242" s="7" t="s">
        <v>76</v>
      </c>
      <c r="Q242" s="7" t="s">
        <v>77</v>
      </c>
      <c r="R242" s="7">
        <v>99999</v>
      </c>
      <c r="S242" s="7" t="s">
        <v>30</v>
      </c>
      <c r="T242" s="7" t="s">
        <v>79</v>
      </c>
      <c r="U242" s="7" t="s">
        <v>88</v>
      </c>
      <c r="V242" s="7" t="s">
        <v>89</v>
      </c>
      <c r="W242" s="9">
        <v>40</v>
      </c>
      <c r="X242" s="7">
        <v>88</v>
      </c>
      <c r="Y242" s="10">
        <v>3520</v>
      </c>
      <c r="Z242" s="9">
        <v>366.08000000000004</v>
      </c>
    </row>
    <row r="243" spans="1:26" x14ac:dyDescent="0.35">
      <c r="A243" s="7">
        <v>1281</v>
      </c>
      <c r="B243" s="8">
        <v>41892</v>
      </c>
      <c r="C243" s="7">
        <v>10</v>
      </c>
      <c r="D243" s="7" t="s">
        <v>97</v>
      </c>
      <c r="E243" s="7" t="s">
        <v>98</v>
      </c>
      <c r="F243" s="7" t="s">
        <v>99</v>
      </c>
      <c r="G243" s="7" t="s">
        <v>100</v>
      </c>
      <c r="H243" s="7">
        <v>99999</v>
      </c>
      <c r="I243" s="7" t="s">
        <v>30</v>
      </c>
      <c r="J243" s="7" t="s">
        <v>101</v>
      </c>
      <c r="K243" s="7" t="s">
        <v>45</v>
      </c>
      <c r="L243" s="8">
        <v>41894</v>
      </c>
      <c r="M243" s="7" t="s">
        <v>33</v>
      </c>
      <c r="N243" s="7" t="s">
        <v>102</v>
      </c>
      <c r="O243" s="7" t="s">
        <v>98</v>
      </c>
      <c r="P243" s="7" t="s">
        <v>99</v>
      </c>
      <c r="Q243" s="7" t="s">
        <v>100</v>
      </c>
      <c r="R243" s="7">
        <v>99999</v>
      </c>
      <c r="S243" s="7" t="s">
        <v>30</v>
      </c>
      <c r="T243" s="7" t="s">
        <v>48</v>
      </c>
      <c r="U243" s="7" t="s">
        <v>136</v>
      </c>
      <c r="V243" s="7" t="s">
        <v>39</v>
      </c>
      <c r="W243" s="9">
        <v>10</v>
      </c>
      <c r="X243" s="7">
        <v>59</v>
      </c>
      <c r="Y243" s="10">
        <v>590</v>
      </c>
      <c r="Z243" s="9">
        <v>59.59</v>
      </c>
    </row>
    <row r="244" spans="1:26" x14ac:dyDescent="0.35">
      <c r="A244" s="7">
        <v>1282</v>
      </c>
      <c r="B244" s="8">
        <v>41918</v>
      </c>
      <c r="C244" s="7">
        <v>6</v>
      </c>
      <c r="D244" s="7" t="s">
        <v>82</v>
      </c>
      <c r="E244" s="7" t="s">
        <v>83</v>
      </c>
      <c r="F244" s="7" t="s">
        <v>84</v>
      </c>
      <c r="G244" s="7" t="s">
        <v>85</v>
      </c>
      <c r="H244" s="7">
        <v>99999</v>
      </c>
      <c r="I244" s="7" t="s">
        <v>30</v>
      </c>
      <c r="J244" s="7" t="s">
        <v>86</v>
      </c>
      <c r="K244" s="7" t="s">
        <v>61</v>
      </c>
      <c r="L244" s="8">
        <v>41920</v>
      </c>
      <c r="M244" s="7" t="s">
        <v>33</v>
      </c>
      <c r="N244" s="7" t="s">
        <v>87</v>
      </c>
      <c r="O244" s="7" t="s">
        <v>83</v>
      </c>
      <c r="P244" s="7" t="s">
        <v>84</v>
      </c>
      <c r="Q244" s="7" t="s">
        <v>85</v>
      </c>
      <c r="R244" s="7">
        <v>99999</v>
      </c>
      <c r="S244" s="7" t="s">
        <v>30</v>
      </c>
      <c r="T244" s="7" t="s">
        <v>48</v>
      </c>
      <c r="U244" s="7" t="s">
        <v>88</v>
      </c>
      <c r="V244" s="7" t="s">
        <v>89</v>
      </c>
      <c r="W244" s="9">
        <v>40</v>
      </c>
      <c r="X244" s="7">
        <v>94</v>
      </c>
      <c r="Y244" s="10">
        <v>3760</v>
      </c>
      <c r="Z244" s="9">
        <v>376</v>
      </c>
    </row>
    <row r="245" spans="1:26" x14ac:dyDescent="0.35">
      <c r="A245" s="7">
        <v>1283</v>
      </c>
      <c r="B245" s="8">
        <v>41940</v>
      </c>
      <c r="C245" s="7">
        <v>28</v>
      </c>
      <c r="D245" s="7" t="s">
        <v>90</v>
      </c>
      <c r="E245" s="7" t="s">
        <v>91</v>
      </c>
      <c r="F245" s="7" t="s">
        <v>92</v>
      </c>
      <c r="G245" s="7" t="s">
        <v>93</v>
      </c>
      <c r="H245" s="7">
        <v>99999</v>
      </c>
      <c r="I245" s="7" t="s">
        <v>30</v>
      </c>
      <c r="J245" s="7" t="s">
        <v>94</v>
      </c>
      <c r="K245" s="7" t="s">
        <v>95</v>
      </c>
      <c r="L245" s="8">
        <v>41942</v>
      </c>
      <c r="M245" s="7" t="s">
        <v>62</v>
      </c>
      <c r="N245" s="7" t="s">
        <v>96</v>
      </c>
      <c r="O245" s="7" t="s">
        <v>91</v>
      </c>
      <c r="P245" s="7" t="s">
        <v>92</v>
      </c>
      <c r="Q245" s="7" t="s">
        <v>93</v>
      </c>
      <c r="R245" s="7">
        <v>99999</v>
      </c>
      <c r="S245" s="7" t="s">
        <v>30</v>
      </c>
      <c r="T245" s="7" t="s">
        <v>35</v>
      </c>
      <c r="U245" s="7" t="s">
        <v>55</v>
      </c>
      <c r="V245" s="7" t="s">
        <v>37</v>
      </c>
      <c r="W245" s="9">
        <v>46</v>
      </c>
      <c r="X245" s="7">
        <v>86</v>
      </c>
      <c r="Y245" s="10">
        <v>3956</v>
      </c>
      <c r="Z245" s="9">
        <v>379.77600000000001</v>
      </c>
    </row>
    <row r="246" spans="1:26" x14ac:dyDescent="0.35">
      <c r="A246" s="7">
        <v>1284</v>
      </c>
      <c r="B246" s="8">
        <v>41920</v>
      </c>
      <c r="C246" s="7">
        <v>8</v>
      </c>
      <c r="D246" s="7" t="s">
        <v>56</v>
      </c>
      <c r="E246" s="7" t="s">
        <v>57</v>
      </c>
      <c r="F246" s="7" t="s">
        <v>58</v>
      </c>
      <c r="G246" s="7" t="s">
        <v>59</v>
      </c>
      <c r="H246" s="7">
        <v>99999</v>
      </c>
      <c r="I246" s="7" t="s">
        <v>30</v>
      </c>
      <c r="J246" s="7" t="s">
        <v>60</v>
      </c>
      <c r="K246" s="7" t="s">
        <v>61</v>
      </c>
      <c r="L246" s="8">
        <v>41922</v>
      </c>
      <c r="M246" s="7" t="s">
        <v>62</v>
      </c>
      <c r="N246" s="7" t="s">
        <v>63</v>
      </c>
      <c r="O246" s="7" t="s">
        <v>57</v>
      </c>
      <c r="P246" s="7" t="s">
        <v>58</v>
      </c>
      <c r="Q246" s="7" t="s">
        <v>59</v>
      </c>
      <c r="R246" s="7">
        <v>99999</v>
      </c>
      <c r="S246" s="7" t="s">
        <v>30</v>
      </c>
      <c r="T246" s="7" t="s">
        <v>35</v>
      </c>
      <c r="U246" s="7" t="s">
        <v>72</v>
      </c>
      <c r="V246" s="7" t="s">
        <v>73</v>
      </c>
      <c r="W246" s="9">
        <v>12.75</v>
      </c>
      <c r="X246" s="7">
        <v>61</v>
      </c>
      <c r="Y246" s="10">
        <v>777.75</v>
      </c>
      <c r="Z246" s="9">
        <v>78.552750000000003</v>
      </c>
    </row>
    <row r="247" spans="1:26" x14ac:dyDescent="0.35">
      <c r="A247" s="7">
        <v>1285</v>
      </c>
      <c r="B247" s="8">
        <v>41922</v>
      </c>
      <c r="C247" s="7">
        <v>10</v>
      </c>
      <c r="D247" s="7" t="s">
        <v>97</v>
      </c>
      <c r="E247" s="7" t="s">
        <v>98</v>
      </c>
      <c r="F247" s="7" t="s">
        <v>99</v>
      </c>
      <c r="G247" s="7" t="s">
        <v>100</v>
      </c>
      <c r="H247" s="7">
        <v>99999</v>
      </c>
      <c r="I247" s="7" t="s">
        <v>30</v>
      </c>
      <c r="J247" s="7" t="s">
        <v>101</v>
      </c>
      <c r="K247" s="7" t="s">
        <v>45</v>
      </c>
      <c r="L247" s="8">
        <v>41924</v>
      </c>
      <c r="M247" s="7" t="s">
        <v>33</v>
      </c>
      <c r="N247" s="7" t="s">
        <v>102</v>
      </c>
      <c r="O247" s="7" t="s">
        <v>98</v>
      </c>
      <c r="P247" s="7" t="s">
        <v>99</v>
      </c>
      <c r="Q247" s="7" t="s">
        <v>100</v>
      </c>
      <c r="R247" s="7">
        <v>99999</v>
      </c>
      <c r="S247" s="7" t="s">
        <v>30</v>
      </c>
      <c r="T247" s="7" t="s">
        <v>48</v>
      </c>
      <c r="U247" s="7" t="s">
        <v>103</v>
      </c>
      <c r="V247" s="7" t="s">
        <v>37</v>
      </c>
      <c r="W247" s="9">
        <v>2.99</v>
      </c>
      <c r="X247" s="7">
        <v>32</v>
      </c>
      <c r="Y247" s="10">
        <v>95.68</v>
      </c>
      <c r="Z247" s="9">
        <v>9.7593600000000009</v>
      </c>
    </row>
    <row r="248" spans="1:26" x14ac:dyDescent="0.35">
      <c r="A248" s="7">
        <v>1286</v>
      </c>
      <c r="B248" s="8">
        <v>41919</v>
      </c>
      <c r="C248" s="7">
        <v>7</v>
      </c>
      <c r="D248" s="7" t="s">
        <v>104</v>
      </c>
      <c r="E248" s="7" t="s">
        <v>105</v>
      </c>
      <c r="F248" s="7" t="s">
        <v>106</v>
      </c>
      <c r="G248" s="7" t="s">
        <v>107</v>
      </c>
      <c r="H248" s="7">
        <v>99999</v>
      </c>
      <c r="I248" s="7" t="s">
        <v>30</v>
      </c>
      <c r="J248" s="7" t="s">
        <v>60</v>
      </c>
      <c r="K248" s="7" t="s">
        <v>61</v>
      </c>
      <c r="L248" s="8"/>
      <c r="N248" s="7" t="s">
        <v>108</v>
      </c>
      <c r="O248" s="7" t="s">
        <v>105</v>
      </c>
      <c r="P248" s="7" t="s">
        <v>106</v>
      </c>
      <c r="Q248" s="7" t="s">
        <v>107</v>
      </c>
      <c r="R248" s="7">
        <v>99999</v>
      </c>
      <c r="S248" s="7" t="s">
        <v>30</v>
      </c>
      <c r="U248" s="7" t="s">
        <v>55</v>
      </c>
      <c r="V248" s="7" t="s">
        <v>37</v>
      </c>
      <c r="W248" s="7">
        <v>46</v>
      </c>
      <c r="X248" s="7">
        <v>62</v>
      </c>
      <c r="Y248" s="10">
        <v>2852</v>
      </c>
      <c r="Z248" s="9">
        <v>290.904</v>
      </c>
    </row>
    <row r="249" spans="1:26" x14ac:dyDescent="0.35">
      <c r="A249" s="7">
        <v>1287</v>
      </c>
      <c r="B249" s="8">
        <v>41922</v>
      </c>
      <c r="C249" s="7">
        <v>10</v>
      </c>
      <c r="D249" s="7" t="s">
        <v>97</v>
      </c>
      <c r="E249" s="7" t="s">
        <v>98</v>
      </c>
      <c r="F249" s="7" t="s">
        <v>99</v>
      </c>
      <c r="G249" s="7" t="s">
        <v>100</v>
      </c>
      <c r="H249" s="7">
        <v>99999</v>
      </c>
      <c r="I249" s="7" t="s">
        <v>30</v>
      </c>
      <c r="J249" s="7" t="s">
        <v>101</v>
      </c>
      <c r="K249" s="7" t="s">
        <v>45</v>
      </c>
      <c r="L249" s="8">
        <v>41924</v>
      </c>
      <c r="M249" s="7" t="s">
        <v>46</v>
      </c>
      <c r="N249" s="7" t="s">
        <v>102</v>
      </c>
      <c r="O249" s="7" t="s">
        <v>98</v>
      </c>
      <c r="P249" s="7" t="s">
        <v>99</v>
      </c>
      <c r="Q249" s="7" t="s">
        <v>100</v>
      </c>
      <c r="R249" s="7">
        <v>99999</v>
      </c>
      <c r="S249" s="7" t="s">
        <v>30</v>
      </c>
      <c r="U249" s="7" t="s">
        <v>109</v>
      </c>
      <c r="V249" s="7" t="s">
        <v>110</v>
      </c>
      <c r="W249" s="7">
        <v>25</v>
      </c>
      <c r="X249" s="7">
        <v>60</v>
      </c>
      <c r="Y249" s="10">
        <v>1500</v>
      </c>
      <c r="Z249" s="9">
        <v>154.5</v>
      </c>
    </row>
    <row r="250" spans="1:26" x14ac:dyDescent="0.35">
      <c r="A250" s="7">
        <v>1288</v>
      </c>
      <c r="B250" s="8">
        <v>41922</v>
      </c>
      <c r="C250" s="7">
        <v>10</v>
      </c>
      <c r="D250" s="7" t="s">
        <v>97</v>
      </c>
      <c r="E250" s="7" t="s">
        <v>98</v>
      </c>
      <c r="F250" s="7" t="s">
        <v>99</v>
      </c>
      <c r="G250" s="7" t="s">
        <v>100</v>
      </c>
      <c r="H250" s="7">
        <v>99999</v>
      </c>
      <c r="I250" s="7" t="s">
        <v>30</v>
      </c>
      <c r="J250" s="7" t="s">
        <v>101</v>
      </c>
      <c r="K250" s="7" t="s">
        <v>45</v>
      </c>
      <c r="L250" s="8">
        <v>41924</v>
      </c>
      <c r="M250" s="7" t="s">
        <v>46</v>
      </c>
      <c r="N250" s="7" t="s">
        <v>102</v>
      </c>
      <c r="O250" s="7" t="s">
        <v>98</v>
      </c>
      <c r="P250" s="7" t="s">
        <v>99</v>
      </c>
      <c r="Q250" s="7" t="s">
        <v>100</v>
      </c>
      <c r="R250" s="7">
        <v>99999</v>
      </c>
      <c r="S250" s="7" t="s">
        <v>30</v>
      </c>
      <c r="U250" s="7" t="s">
        <v>111</v>
      </c>
      <c r="V250" s="7" t="s">
        <v>112</v>
      </c>
      <c r="W250" s="7">
        <v>22</v>
      </c>
      <c r="X250" s="7">
        <v>51</v>
      </c>
      <c r="Y250" s="10">
        <v>1122</v>
      </c>
      <c r="Z250" s="9">
        <v>109.956</v>
      </c>
    </row>
    <row r="251" spans="1:26" x14ac:dyDescent="0.35">
      <c r="A251" s="7">
        <v>1289</v>
      </c>
      <c r="B251" s="8">
        <v>41922</v>
      </c>
      <c r="C251" s="7">
        <v>10</v>
      </c>
      <c r="D251" s="7" t="s">
        <v>97</v>
      </c>
      <c r="E251" s="7" t="s">
        <v>98</v>
      </c>
      <c r="F251" s="7" t="s">
        <v>99</v>
      </c>
      <c r="G251" s="7" t="s">
        <v>100</v>
      </c>
      <c r="H251" s="7">
        <v>99999</v>
      </c>
      <c r="I251" s="7" t="s">
        <v>30</v>
      </c>
      <c r="J251" s="7" t="s">
        <v>101</v>
      </c>
      <c r="K251" s="7" t="s">
        <v>45</v>
      </c>
      <c r="L251" s="8">
        <v>41924</v>
      </c>
      <c r="M251" s="7" t="s">
        <v>46</v>
      </c>
      <c r="N251" s="7" t="s">
        <v>102</v>
      </c>
      <c r="O251" s="7" t="s">
        <v>98</v>
      </c>
      <c r="P251" s="7" t="s">
        <v>99</v>
      </c>
      <c r="Q251" s="7" t="s">
        <v>100</v>
      </c>
      <c r="R251" s="7">
        <v>99999</v>
      </c>
      <c r="S251" s="7" t="s">
        <v>30</v>
      </c>
      <c r="U251" s="7" t="s">
        <v>64</v>
      </c>
      <c r="V251" s="7" t="s">
        <v>65</v>
      </c>
      <c r="W251" s="9">
        <v>9.1999999999999993</v>
      </c>
      <c r="X251" s="7">
        <v>49</v>
      </c>
      <c r="Y251" s="10">
        <v>450.79999999999995</v>
      </c>
      <c r="Z251" s="9">
        <v>44.629199999999997</v>
      </c>
    </row>
    <row r="252" spans="1:26" x14ac:dyDescent="0.35">
      <c r="A252" s="7">
        <v>1290</v>
      </c>
      <c r="B252" s="8">
        <v>41923</v>
      </c>
      <c r="C252" s="7">
        <v>11</v>
      </c>
      <c r="D252" s="7" t="s">
        <v>113</v>
      </c>
      <c r="E252" s="7" t="s">
        <v>114</v>
      </c>
      <c r="F252" s="7" t="s">
        <v>115</v>
      </c>
      <c r="G252" s="7" t="s">
        <v>116</v>
      </c>
      <c r="H252" s="7">
        <v>99999</v>
      </c>
      <c r="I252" s="7" t="s">
        <v>30</v>
      </c>
      <c r="J252" s="7" t="s">
        <v>94</v>
      </c>
      <c r="K252" s="7" t="s">
        <v>95</v>
      </c>
      <c r="M252" s="7" t="s">
        <v>62</v>
      </c>
      <c r="N252" s="7" t="s">
        <v>117</v>
      </c>
      <c r="O252" s="7" t="s">
        <v>114</v>
      </c>
      <c r="P252" s="7" t="s">
        <v>115</v>
      </c>
      <c r="Q252" s="7" t="s">
        <v>116</v>
      </c>
      <c r="R252" s="7">
        <v>99999</v>
      </c>
      <c r="S252" s="7" t="s">
        <v>30</v>
      </c>
      <c r="U252" s="7" t="s">
        <v>38</v>
      </c>
      <c r="V252" s="7" t="s">
        <v>39</v>
      </c>
      <c r="W252" s="9">
        <v>3.5</v>
      </c>
      <c r="X252" s="7">
        <v>20</v>
      </c>
      <c r="Y252" s="10">
        <v>70</v>
      </c>
      <c r="Z252" s="9">
        <v>6.93</v>
      </c>
    </row>
    <row r="253" spans="1:26" x14ac:dyDescent="0.35">
      <c r="A253" s="7">
        <v>1291</v>
      </c>
      <c r="B253" s="8">
        <v>41923</v>
      </c>
      <c r="C253" s="7">
        <v>11</v>
      </c>
      <c r="D253" s="7" t="s">
        <v>113</v>
      </c>
      <c r="E253" s="7" t="s">
        <v>114</v>
      </c>
      <c r="F253" s="7" t="s">
        <v>115</v>
      </c>
      <c r="G253" s="7" t="s">
        <v>116</v>
      </c>
      <c r="H253" s="7">
        <v>99999</v>
      </c>
      <c r="I253" s="7" t="s">
        <v>30</v>
      </c>
      <c r="J253" s="7" t="s">
        <v>94</v>
      </c>
      <c r="K253" s="7" t="s">
        <v>95</v>
      </c>
      <c r="M253" s="7" t="s">
        <v>62</v>
      </c>
      <c r="N253" s="7" t="s">
        <v>117</v>
      </c>
      <c r="O253" s="7" t="s">
        <v>114</v>
      </c>
      <c r="P253" s="7" t="s">
        <v>115</v>
      </c>
      <c r="Q253" s="7" t="s">
        <v>116</v>
      </c>
      <c r="R253" s="7">
        <v>99999</v>
      </c>
      <c r="S253" s="7" t="s">
        <v>30</v>
      </c>
      <c r="U253" s="7" t="s">
        <v>103</v>
      </c>
      <c r="V253" s="7" t="s">
        <v>37</v>
      </c>
      <c r="W253" s="9">
        <v>2.99</v>
      </c>
      <c r="X253" s="7">
        <v>49</v>
      </c>
      <c r="Y253" s="10">
        <v>146.51000000000002</v>
      </c>
      <c r="Z253" s="9">
        <v>14.651000000000003</v>
      </c>
    </row>
    <row r="254" spans="1:26" x14ac:dyDescent="0.35">
      <c r="A254" s="7">
        <v>1292</v>
      </c>
      <c r="B254" s="8">
        <v>41913</v>
      </c>
      <c r="C254" s="7">
        <v>1</v>
      </c>
      <c r="D254" s="7" t="s">
        <v>118</v>
      </c>
      <c r="E254" s="7" t="s">
        <v>119</v>
      </c>
      <c r="F254" s="7" t="s">
        <v>120</v>
      </c>
      <c r="G254" s="7" t="s">
        <v>121</v>
      </c>
      <c r="H254" s="7">
        <v>99999</v>
      </c>
      <c r="I254" s="7" t="s">
        <v>30</v>
      </c>
      <c r="J254" s="7" t="s">
        <v>60</v>
      </c>
      <c r="K254" s="7" t="s">
        <v>61</v>
      </c>
      <c r="N254" s="7" t="s">
        <v>122</v>
      </c>
      <c r="O254" s="7" t="s">
        <v>119</v>
      </c>
      <c r="P254" s="7" t="s">
        <v>120</v>
      </c>
      <c r="Q254" s="7" t="s">
        <v>121</v>
      </c>
      <c r="R254" s="7">
        <v>99999</v>
      </c>
      <c r="S254" s="7" t="s">
        <v>30</v>
      </c>
      <c r="U254" s="7" t="s">
        <v>54</v>
      </c>
      <c r="V254" s="7" t="s">
        <v>37</v>
      </c>
      <c r="W254" s="9">
        <v>18</v>
      </c>
      <c r="X254" s="7">
        <v>22</v>
      </c>
      <c r="Y254" s="10">
        <v>396</v>
      </c>
      <c r="Z254" s="9">
        <v>38.015999999999998</v>
      </c>
    </row>
    <row r="255" spans="1:26" x14ac:dyDescent="0.35">
      <c r="A255" s="7">
        <v>1293</v>
      </c>
      <c r="B255" s="8">
        <v>41913</v>
      </c>
      <c r="C255" s="7">
        <v>1</v>
      </c>
      <c r="D255" s="7" t="s">
        <v>118</v>
      </c>
      <c r="E255" s="7" t="s">
        <v>119</v>
      </c>
      <c r="F255" s="7" t="s">
        <v>120</v>
      </c>
      <c r="G255" s="7" t="s">
        <v>121</v>
      </c>
      <c r="H255" s="7">
        <v>99999</v>
      </c>
      <c r="I255" s="7" t="s">
        <v>30</v>
      </c>
      <c r="J255" s="7" t="s">
        <v>60</v>
      </c>
      <c r="K255" s="7" t="s">
        <v>61</v>
      </c>
      <c r="N255" s="7" t="s">
        <v>122</v>
      </c>
      <c r="O255" s="7" t="s">
        <v>119</v>
      </c>
      <c r="P255" s="7" t="s">
        <v>120</v>
      </c>
      <c r="Q255" s="7" t="s">
        <v>121</v>
      </c>
      <c r="R255" s="7">
        <v>99999</v>
      </c>
      <c r="S255" s="7" t="s">
        <v>30</v>
      </c>
      <c r="U255" s="7" t="s">
        <v>55</v>
      </c>
      <c r="V255" s="7" t="s">
        <v>37</v>
      </c>
      <c r="W255" s="9">
        <v>46</v>
      </c>
      <c r="X255" s="7">
        <v>73</v>
      </c>
      <c r="Y255" s="10">
        <v>3358</v>
      </c>
      <c r="Z255" s="9">
        <v>339.15800000000002</v>
      </c>
    </row>
    <row r="256" spans="1:26" x14ac:dyDescent="0.35">
      <c r="A256" s="7">
        <v>1294</v>
      </c>
      <c r="B256" s="8">
        <v>41913</v>
      </c>
      <c r="C256" s="7">
        <v>1</v>
      </c>
      <c r="D256" s="7" t="s">
        <v>118</v>
      </c>
      <c r="E256" s="7" t="s">
        <v>119</v>
      </c>
      <c r="F256" s="7" t="s">
        <v>120</v>
      </c>
      <c r="G256" s="7" t="s">
        <v>121</v>
      </c>
      <c r="H256" s="7">
        <v>99999</v>
      </c>
      <c r="I256" s="7" t="s">
        <v>30</v>
      </c>
      <c r="J256" s="7" t="s">
        <v>60</v>
      </c>
      <c r="K256" s="7" t="s">
        <v>61</v>
      </c>
      <c r="N256" s="7" t="s">
        <v>122</v>
      </c>
      <c r="O256" s="7" t="s">
        <v>119</v>
      </c>
      <c r="P256" s="7" t="s">
        <v>120</v>
      </c>
      <c r="Q256" s="7" t="s">
        <v>121</v>
      </c>
      <c r="R256" s="7">
        <v>99999</v>
      </c>
      <c r="S256" s="7" t="s">
        <v>30</v>
      </c>
      <c r="U256" s="7" t="s">
        <v>103</v>
      </c>
      <c r="V256" s="7" t="s">
        <v>37</v>
      </c>
      <c r="W256" s="9">
        <v>2.99</v>
      </c>
      <c r="X256" s="7">
        <v>85</v>
      </c>
      <c r="Y256" s="10">
        <v>254.15</v>
      </c>
      <c r="Z256" s="9">
        <v>24.652550000000002</v>
      </c>
    </row>
    <row r="257" spans="1:26" x14ac:dyDescent="0.35">
      <c r="A257" s="7">
        <v>1295</v>
      </c>
      <c r="B257" s="8">
        <v>41940</v>
      </c>
      <c r="C257" s="7">
        <v>28</v>
      </c>
      <c r="D257" s="7" t="s">
        <v>90</v>
      </c>
      <c r="E257" s="7" t="s">
        <v>91</v>
      </c>
      <c r="F257" s="7" t="s">
        <v>92</v>
      </c>
      <c r="G257" s="7" t="s">
        <v>93</v>
      </c>
      <c r="H257" s="7">
        <v>99999</v>
      </c>
      <c r="I257" s="7" t="s">
        <v>30</v>
      </c>
      <c r="J257" s="7" t="s">
        <v>94</v>
      </c>
      <c r="K257" s="7" t="s">
        <v>95</v>
      </c>
      <c r="L257" s="8">
        <v>41942</v>
      </c>
      <c r="M257" s="7" t="s">
        <v>62</v>
      </c>
      <c r="N257" s="7" t="s">
        <v>96</v>
      </c>
      <c r="O257" s="7" t="s">
        <v>91</v>
      </c>
      <c r="P257" s="7" t="s">
        <v>92</v>
      </c>
      <c r="Q257" s="7" t="s">
        <v>93</v>
      </c>
      <c r="R257" s="7">
        <v>99999</v>
      </c>
      <c r="S257" s="7" t="s">
        <v>30</v>
      </c>
      <c r="T257" s="7" t="s">
        <v>48</v>
      </c>
      <c r="U257" s="7" t="s">
        <v>80</v>
      </c>
      <c r="V257" s="7" t="s">
        <v>81</v>
      </c>
      <c r="W257" s="9">
        <v>9.65</v>
      </c>
      <c r="X257" s="7">
        <v>44</v>
      </c>
      <c r="Y257" s="10">
        <v>424.6</v>
      </c>
      <c r="Z257" s="9">
        <v>44.158400000000007</v>
      </c>
    </row>
    <row r="258" spans="1:26" x14ac:dyDescent="0.35">
      <c r="A258" s="7">
        <v>1296</v>
      </c>
      <c r="B258" s="8">
        <v>41940</v>
      </c>
      <c r="C258" s="7">
        <v>28</v>
      </c>
      <c r="D258" s="7" t="s">
        <v>90</v>
      </c>
      <c r="E258" s="7" t="s">
        <v>91</v>
      </c>
      <c r="F258" s="7" t="s">
        <v>92</v>
      </c>
      <c r="G258" s="7" t="s">
        <v>93</v>
      </c>
      <c r="H258" s="7">
        <v>99999</v>
      </c>
      <c r="I258" s="7" t="s">
        <v>30</v>
      </c>
      <c r="J258" s="7" t="s">
        <v>94</v>
      </c>
      <c r="K258" s="7" t="s">
        <v>95</v>
      </c>
      <c r="L258" s="8">
        <v>41942</v>
      </c>
      <c r="M258" s="7" t="s">
        <v>62</v>
      </c>
      <c r="N258" s="7" t="s">
        <v>96</v>
      </c>
      <c r="O258" s="7" t="s">
        <v>91</v>
      </c>
      <c r="P258" s="7" t="s">
        <v>92</v>
      </c>
      <c r="Q258" s="7" t="s">
        <v>93</v>
      </c>
      <c r="R258" s="7">
        <v>99999</v>
      </c>
      <c r="S258" s="7" t="s">
        <v>30</v>
      </c>
      <c r="T258" s="7" t="s">
        <v>48</v>
      </c>
      <c r="U258" s="7" t="s">
        <v>123</v>
      </c>
      <c r="V258" s="7" t="s">
        <v>124</v>
      </c>
      <c r="W258" s="9">
        <v>18.399999999999999</v>
      </c>
      <c r="X258" s="7">
        <v>24</v>
      </c>
      <c r="Y258" s="10">
        <v>441.59999999999997</v>
      </c>
      <c r="Z258" s="9">
        <v>42.835199999999993</v>
      </c>
    </row>
    <row r="259" spans="1:26" x14ac:dyDescent="0.35">
      <c r="A259" s="7">
        <v>1297</v>
      </c>
      <c r="B259" s="8">
        <v>41921</v>
      </c>
      <c r="C259" s="7">
        <v>9</v>
      </c>
      <c r="D259" s="7" t="s">
        <v>125</v>
      </c>
      <c r="E259" s="7" t="s">
        <v>126</v>
      </c>
      <c r="F259" s="7" t="s">
        <v>127</v>
      </c>
      <c r="G259" s="7" t="s">
        <v>128</v>
      </c>
      <c r="H259" s="7">
        <v>99999</v>
      </c>
      <c r="I259" s="7" t="s">
        <v>30</v>
      </c>
      <c r="J259" s="7" t="s">
        <v>129</v>
      </c>
      <c r="K259" s="7" t="s">
        <v>32</v>
      </c>
      <c r="L259" s="8">
        <v>41923</v>
      </c>
      <c r="M259" s="7" t="s">
        <v>46</v>
      </c>
      <c r="N259" s="7" t="s">
        <v>130</v>
      </c>
      <c r="O259" s="7" t="s">
        <v>126</v>
      </c>
      <c r="P259" s="7" t="s">
        <v>127</v>
      </c>
      <c r="Q259" s="7" t="s">
        <v>128</v>
      </c>
      <c r="R259" s="7">
        <v>99999</v>
      </c>
      <c r="S259" s="7" t="s">
        <v>30</v>
      </c>
      <c r="T259" s="7" t="s">
        <v>35</v>
      </c>
      <c r="U259" s="7" t="s">
        <v>131</v>
      </c>
      <c r="V259" s="7" t="s">
        <v>132</v>
      </c>
      <c r="W259" s="9">
        <v>19.5</v>
      </c>
      <c r="X259" s="7">
        <v>64</v>
      </c>
      <c r="Y259" s="10">
        <v>1248</v>
      </c>
      <c r="Z259" s="9">
        <v>119.80800000000001</v>
      </c>
    </row>
    <row r="260" spans="1:26" x14ac:dyDescent="0.35">
      <c r="A260" s="7">
        <v>1298</v>
      </c>
      <c r="B260" s="8">
        <v>41921</v>
      </c>
      <c r="C260" s="7">
        <v>9</v>
      </c>
      <c r="D260" s="7" t="s">
        <v>125</v>
      </c>
      <c r="E260" s="7" t="s">
        <v>126</v>
      </c>
      <c r="F260" s="7" t="s">
        <v>127</v>
      </c>
      <c r="G260" s="7" t="s">
        <v>128</v>
      </c>
      <c r="H260" s="7">
        <v>99999</v>
      </c>
      <c r="I260" s="7" t="s">
        <v>30</v>
      </c>
      <c r="J260" s="7" t="s">
        <v>129</v>
      </c>
      <c r="K260" s="7" t="s">
        <v>32</v>
      </c>
      <c r="L260" s="8">
        <v>41923</v>
      </c>
      <c r="M260" s="7" t="s">
        <v>46</v>
      </c>
      <c r="N260" s="7" t="s">
        <v>130</v>
      </c>
      <c r="O260" s="7" t="s">
        <v>126</v>
      </c>
      <c r="P260" s="7" t="s">
        <v>127</v>
      </c>
      <c r="Q260" s="7" t="s">
        <v>128</v>
      </c>
      <c r="R260" s="7">
        <v>99999</v>
      </c>
      <c r="S260" s="7" t="s">
        <v>30</v>
      </c>
      <c r="T260" s="7" t="s">
        <v>35</v>
      </c>
      <c r="U260" s="7" t="s">
        <v>133</v>
      </c>
      <c r="V260" s="7" t="s">
        <v>134</v>
      </c>
      <c r="W260" s="9">
        <v>34.799999999999997</v>
      </c>
      <c r="X260" s="7">
        <v>70</v>
      </c>
      <c r="Y260" s="10">
        <v>2436</v>
      </c>
      <c r="Z260" s="9">
        <v>246.03600000000003</v>
      </c>
    </row>
    <row r="261" spans="1:26" x14ac:dyDescent="0.35">
      <c r="A261" s="7">
        <v>1299</v>
      </c>
      <c r="B261" s="8">
        <v>41918</v>
      </c>
      <c r="C261" s="7">
        <v>6</v>
      </c>
      <c r="D261" s="7" t="s">
        <v>82</v>
      </c>
      <c r="E261" s="7" t="s">
        <v>83</v>
      </c>
      <c r="F261" s="7" t="s">
        <v>84</v>
      </c>
      <c r="G261" s="7" t="s">
        <v>85</v>
      </c>
      <c r="H261" s="7">
        <v>99999</v>
      </c>
      <c r="I261" s="7" t="s">
        <v>30</v>
      </c>
      <c r="J261" s="7" t="s">
        <v>86</v>
      </c>
      <c r="K261" s="7" t="s">
        <v>61</v>
      </c>
      <c r="L261" s="8">
        <v>41920</v>
      </c>
      <c r="M261" s="7" t="s">
        <v>33</v>
      </c>
      <c r="N261" s="7" t="s">
        <v>87</v>
      </c>
      <c r="O261" s="7" t="s">
        <v>83</v>
      </c>
      <c r="P261" s="7" t="s">
        <v>84</v>
      </c>
      <c r="Q261" s="7" t="s">
        <v>85</v>
      </c>
      <c r="R261" s="7">
        <v>99999</v>
      </c>
      <c r="S261" s="7" t="s">
        <v>30</v>
      </c>
      <c r="T261" s="7" t="s">
        <v>48</v>
      </c>
      <c r="U261" s="7" t="s">
        <v>36</v>
      </c>
      <c r="V261" s="7" t="s">
        <v>37</v>
      </c>
      <c r="W261" s="9">
        <v>14</v>
      </c>
      <c r="X261" s="7">
        <v>98</v>
      </c>
      <c r="Y261" s="10">
        <v>1372</v>
      </c>
      <c r="Z261" s="9">
        <v>138.57200000000003</v>
      </c>
    </row>
    <row r="262" spans="1:26" x14ac:dyDescent="0.35">
      <c r="A262" s="7">
        <v>1300</v>
      </c>
      <c r="B262" s="8">
        <v>41920</v>
      </c>
      <c r="C262" s="7">
        <v>8</v>
      </c>
      <c r="D262" s="7" t="s">
        <v>56</v>
      </c>
      <c r="E262" s="7" t="s">
        <v>57</v>
      </c>
      <c r="F262" s="7" t="s">
        <v>58</v>
      </c>
      <c r="G262" s="7" t="s">
        <v>59</v>
      </c>
      <c r="H262" s="7">
        <v>99999</v>
      </c>
      <c r="I262" s="7" t="s">
        <v>30</v>
      </c>
      <c r="J262" s="7" t="s">
        <v>60</v>
      </c>
      <c r="K262" s="7" t="s">
        <v>61</v>
      </c>
      <c r="L262" s="8">
        <v>41922</v>
      </c>
      <c r="M262" s="7" t="s">
        <v>33</v>
      </c>
      <c r="N262" s="7" t="s">
        <v>63</v>
      </c>
      <c r="O262" s="7" t="s">
        <v>57</v>
      </c>
      <c r="P262" s="7" t="s">
        <v>58</v>
      </c>
      <c r="Q262" s="7" t="s">
        <v>59</v>
      </c>
      <c r="R262" s="7">
        <v>99999</v>
      </c>
      <c r="S262" s="7" t="s">
        <v>30</v>
      </c>
      <c r="T262" s="7" t="s">
        <v>35</v>
      </c>
      <c r="U262" s="7" t="s">
        <v>88</v>
      </c>
      <c r="V262" s="7" t="s">
        <v>89</v>
      </c>
      <c r="W262" s="9">
        <v>40</v>
      </c>
      <c r="X262" s="7">
        <v>48</v>
      </c>
      <c r="Y262" s="10">
        <v>1920</v>
      </c>
      <c r="Z262" s="9">
        <v>188.16</v>
      </c>
    </row>
    <row r="263" spans="1:26" x14ac:dyDescent="0.35">
      <c r="A263" s="7">
        <v>1301</v>
      </c>
      <c r="B263" s="8">
        <v>41920</v>
      </c>
      <c r="C263" s="7">
        <v>8</v>
      </c>
      <c r="D263" s="7" t="s">
        <v>56</v>
      </c>
      <c r="E263" s="7" t="s">
        <v>57</v>
      </c>
      <c r="F263" s="7" t="s">
        <v>58</v>
      </c>
      <c r="G263" s="7" t="s">
        <v>59</v>
      </c>
      <c r="H263" s="7">
        <v>99999</v>
      </c>
      <c r="I263" s="7" t="s">
        <v>30</v>
      </c>
      <c r="J263" s="7" t="s">
        <v>60</v>
      </c>
      <c r="K263" s="7" t="s">
        <v>61</v>
      </c>
      <c r="L263" s="8">
        <v>41922</v>
      </c>
      <c r="M263" s="7" t="s">
        <v>33</v>
      </c>
      <c r="N263" s="7" t="s">
        <v>63</v>
      </c>
      <c r="O263" s="7" t="s">
        <v>57</v>
      </c>
      <c r="P263" s="7" t="s">
        <v>58</v>
      </c>
      <c r="Q263" s="7" t="s">
        <v>59</v>
      </c>
      <c r="R263" s="7">
        <v>99999</v>
      </c>
      <c r="S263" s="7" t="s">
        <v>30</v>
      </c>
      <c r="T263" s="7" t="s">
        <v>35</v>
      </c>
      <c r="U263" s="7" t="s">
        <v>64</v>
      </c>
      <c r="V263" s="7" t="s">
        <v>65</v>
      </c>
      <c r="W263" s="9">
        <v>9.1999999999999993</v>
      </c>
      <c r="X263" s="7">
        <v>100</v>
      </c>
      <c r="Y263" s="10">
        <v>919.99999999999989</v>
      </c>
      <c r="Z263" s="9">
        <v>91.08</v>
      </c>
    </row>
    <row r="264" spans="1:26" x14ac:dyDescent="0.35">
      <c r="A264" s="7">
        <v>1302</v>
      </c>
      <c r="B264" s="8">
        <v>41937</v>
      </c>
      <c r="C264" s="7">
        <v>25</v>
      </c>
      <c r="D264" s="7" t="s">
        <v>137</v>
      </c>
      <c r="E264" s="7" t="s">
        <v>138</v>
      </c>
      <c r="F264" s="7" t="s">
        <v>99</v>
      </c>
      <c r="G264" s="7" t="s">
        <v>100</v>
      </c>
      <c r="H264" s="7">
        <v>99999</v>
      </c>
      <c r="I264" s="7" t="s">
        <v>30</v>
      </c>
      <c r="J264" s="7" t="s">
        <v>101</v>
      </c>
      <c r="K264" s="7" t="s">
        <v>45</v>
      </c>
      <c r="L264" s="8">
        <v>41939</v>
      </c>
      <c r="M264" s="7" t="s">
        <v>46</v>
      </c>
      <c r="N264" s="7" t="s">
        <v>139</v>
      </c>
      <c r="O264" s="7" t="s">
        <v>138</v>
      </c>
      <c r="P264" s="7" t="s">
        <v>99</v>
      </c>
      <c r="Q264" s="7" t="s">
        <v>100</v>
      </c>
      <c r="R264" s="7">
        <v>99999</v>
      </c>
      <c r="S264" s="7" t="s">
        <v>30</v>
      </c>
      <c r="T264" s="7" t="s">
        <v>79</v>
      </c>
      <c r="U264" s="7" t="s">
        <v>146</v>
      </c>
      <c r="V264" s="7" t="s">
        <v>65</v>
      </c>
      <c r="W264" s="9">
        <v>10</v>
      </c>
      <c r="X264" s="7">
        <v>90</v>
      </c>
      <c r="Y264" s="10">
        <v>900</v>
      </c>
      <c r="Z264" s="9">
        <v>87.3</v>
      </c>
    </row>
    <row r="265" spans="1:26" x14ac:dyDescent="0.35">
      <c r="A265" s="7">
        <v>1303</v>
      </c>
      <c r="B265" s="8">
        <v>41938</v>
      </c>
      <c r="C265" s="7">
        <v>26</v>
      </c>
      <c r="D265" s="7" t="s">
        <v>140</v>
      </c>
      <c r="E265" s="7" t="s">
        <v>141</v>
      </c>
      <c r="F265" s="7" t="s">
        <v>115</v>
      </c>
      <c r="G265" s="7" t="s">
        <v>116</v>
      </c>
      <c r="H265" s="7">
        <v>99999</v>
      </c>
      <c r="I265" s="7" t="s">
        <v>30</v>
      </c>
      <c r="J265" s="7" t="s">
        <v>94</v>
      </c>
      <c r="K265" s="7" t="s">
        <v>95</v>
      </c>
      <c r="L265" s="8">
        <v>41940</v>
      </c>
      <c r="M265" s="7" t="s">
        <v>62</v>
      </c>
      <c r="N265" s="7" t="s">
        <v>142</v>
      </c>
      <c r="O265" s="7" t="s">
        <v>141</v>
      </c>
      <c r="P265" s="7" t="s">
        <v>115</v>
      </c>
      <c r="Q265" s="7" t="s">
        <v>116</v>
      </c>
      <c r="R265" s="7">
        <v>99999</v>
      </c>
      <c r="S265" s="7" t="s">
        <v>30</v>
      </c>
      <c r="T265" s="7" t="s">
        <v>48</v>
      </c>
      <c r="U265" s="7" t="s">
        <v>147</v>
      </c>
      <c r="V265" s="7" t="s">
        <v>148</v>
      </c>
      <c r="W265" s="9">
        <v>21.35</v>
      </c>
      <c r="X265" s="7">
        <v>49</v>
      </c>
      <c r="Y265" s="10">
        <v>1046.1500000000001</v>
      </c>
      <c r="Z265" s="9">
        <v>102.5227</v>
      </c>
    </row>
    <row r="266" spans="1:26" x14ac:dyDescent="0.35">
      <c r="A266" s="7">
        <v>1304</v>
      </c>
      <c r="B266" s="8">
        <v>41938</v>
      </c>
      <c r="C266" s="7">
        <v>26</v>
      </c>
      <c r="D266" s="7" t="s">
        <v>140</v>
      </c>
      <c r="E266" s="7" t="s">
        <v>141</v>
      </c>
      <c r="F266" s="7" t="s">
        <v>115</v>
      </c>
      <c r="G266" s="7" t="s">
        <v>116</v>
      </c>
      <c r="H266" s="7">
        <v>99999</v>
      </c>
      <c r="I266" s="7" t="s">
        <v>30</v>
      </c>
      <c r="J266" s="7" t="s">
        <v>94</v>
      </c>
      <c r="K266" s="7" t="s">
        <v>95</v>
      </c>
      <c r="L266" s="8">
        <v>41940</v>
      </c>
      <c r="M266" s="7" t="s">
        <v>62</v>
      </c>
      <c r="N266" s="7" t="s">
        <v>142</v>
      </c>
      <c r="O266" s="7" t="s">
        <v>141</v>
      </c>
      <c r="P266" s="7" t="s">
        <v>115</v>
      </c>
      <c r="Q266" s="7" t="s">
        <v>116</v>
      </c>
      <c r="R266" s="7">
        <v>99999</v>
      </c>
      <c r="S266" s="7" t="s">
        <v>30</v>
      </c>
      <c r="T266" s="7" t="s">
        <v>48</v>
      </c>
      <c r="U266" s="7" t="s">
        <v>80</v>
      </c>
      <c r="V266" s="7" t="s">
        <v>81</v>
      </c>
      <c r="W266" s="9">
        <v>9.65</v>
      </c>
      <c r="X266" s="7">
        <v>71</v>
      </c>
      <c r="Y266" s="10">
        <v>685.15</v>
      </c>
      <c r="Z266" s="9">
        <v>65.7744</v>
      </c>
    </row>
    <row r="267" spans="1:26" x14ac:dyDescent="0.35">
      <c r="A267" s="7">
        <v>1305</v>
      </c>
      <c r="B267" s="8">
        <v>41938</v>
      </c>
      <c r="C267" s="7">
        <v>26</v>
      </c>
      <c r="D267" s="7" t="s">
        <v>140</v>
      </c>
      <c r="E267" s="7" t="s">
        <v>141</v>
      </c>
      <c r="F267" s="7" t="s">
        <v>115</v>
      </c>
      <c r="G267" s="7" t="s">
        <v>116</v>
      </c>
      <c r="H267" s="7">
        <v>99999</v>
      </c>
      <c r="I267" s="7" t="s">
        <v>30</v>
      </c>
      <c r="J267" s="7" t="s">
        <v>94</v>
      </c>
      <c r="K267" s="7" t="s">
        <v>95</v>
      </c>
      <c r="L267" s="8">
        <v>41940</v>
      </c>
      <c r="M267" s="7" t="s">
        <v>62</v>
      </c>
      <c r="N267" s="7" t="s">
        <v>142</v>
      </c>
      <c r="O267" s="7" t="s">
        <v>141</v>
      </c>
      <c r="P267" s="7" t="s">
        <v>115</v>
      </c>
      <c r="Q267" s="7" t="s">
        <v>116</v>
      </c>
      <c r="R267" s="7">
        <v>99999</v>
      </c>
      <c r="S267" s="7" t="s">
        <v>30</v>
      </c>
      <c r="T267" s="7" t="s">
        <v>48</v>
      </c>
      <c r="U267" s="7" t="s">
        <v>123</v>
      </c>
      <c r="V267" s="7" t="s">
        <v>124</v>
      </c>
      <c r="W267" s="9">
        <v>18.399999999999999</v>
      </c>
      <c r="X267" s="7">
        <v>10</v>
      </c>
      <c r="Y267" s="10">
        <v>184</v>
      </c>
      <c r="Z267" s="9">
        <v>19.136000000000003</v>
      </c>
    </row>
    <row r="268" spans="1:26" x14ac:dyDescent="0.35">
      <c r="A268" s="7">
        <v>1306</v>
      </c>
      <c r="B268" s="8">
        <v>41941</v>
      </c>
      <c r="C268" s="7">
        <v>29</v>
      </c>
      <c r="D268" s="7" t="s">
        <v>66</v>
      </c>
      <c r="E268" s="7" t="s">
        <v>67</v>
      </c>
      <c r="F268" s="7" t="s">
        <v>68</v>
      </c>
      <c r="G268" s="7" t="s">
        <v>69</v>
      </c>
      <c r="H268" s="7">
        <v>99999</v>
      </c>
      <c r="I268" s="7" t="s">
        <v>30</v>
      </c>
      <c r="J268" s="7" t="s">
        <v>70</v>
      </c>
      <c r="K268" s="7" t="s">
        <v>32</v>
      </c>
      <c r="L268" s="8">
        <v>41943</v>
      </c>
      <c r="M268" s="7" t="s">
        <v>33</v>
      </c>
      <c r="N268" s="7" t="s">
        <v>71</v>
      </c>
      <c r="O268" s="7" t="s">
        <v>67</v>
      </c>
      <c r="P268" s="7" t="s">
        <v>68</v>
      </c>
      <c r="Q268" s="7" t="s">
        <v>69</v>
      </c>
      <c r="R268" s="7">
        <v>99999</v>
      </c>
      <c r="S268" s="7" t="s">
        <v>30</v>
      </c>
      <c r="T268" s="7" t="s">
        <v>35</v>
      </c>
      <c r="U268" s="7" t="s">
        <v>36</v>
      </c>
      <c r="V268" s="7" t="s">
        <v>37</v>
      </c>
      <c r="W268" s="9">
        <v>14</v>
      </c>
      <c r="X268" s="7">
        <v>78</v>
      </c>
      <c r="Y268" s="10">
        <v>1092</v>
      </c>
      <c r="Z268" s="9">
        <v>112.476</v>
      </c>
    </row>
    <row r="269" spans="1:26" x14ac:dyDescent="0.35">
      <c r="A269" s="7">
        <v>1307</v>
      </c>
      <c r="B269" s="8">
        <v>41918</v>
      </c>
      <c r="C269" s="7">
        <v>6</v>
      </c>
      <c r="D269" s="7" t="s">
        <v>82</v>
      </c>
      <c r="E269" s="7" t="s">
        <v>83</v>
      </c>
      <c r="F269" s="7" t="s">
        <v>84</v>
      </c>
      <c r="G269" s="7" t="s">
        <v>85</v>
      </c>
      <c r="H269" s="7">
        <v>99999</v>
      </c>
      <c r="I269" s="7" t="s">
        <v>30</v>
      </c>
      <c r="J269" s="7" t="s">
        <v>86</v>
      </c>
      <c r="K269" s="7" t="s">
        <v>61</v>
      </c>
      <c r="L269" s="8">
        <v>41920</v>
      </c>
      <c r="M269" s="7" t="s">
        <v>62</v>
      </c>
      <c r="N269" s="7" t="s">
        <v>87</v>
      </c>
      <c r="O269" s="7" t="s">
        <v>83</v>
      </c>
      <c r="P269" s="7" t="s">
        <v>84</v>
      </c>
      <c r="Q269" s="7" t="s">
        <v>85</v>
      </c>
      <c r="R269" s="7">
        <v>99999</v>
      </c>
      <c r="S269" s="7" t="s">
        <v>30</v>
      </c>
      <c r="T269" s="7" t="s">
        <v>35</v>
      </c>
      <c r="U269" s="7" t="s">
        <v>72</v>
      </c>
      <c r="V269" s="7" t="s">
        <v>73</v>
      </c>
      <c r="W269" s="9">
        <v>12.75</v>
      </c>
      <c r="X269" s="7">
        <v>44</v>
      </c>
      <c r="Y269" s="10">
        <v>561</v>
      </c>
      <c r="Z269" s="9">
        <v>53.856000000000002</v>
      </c>
    </row>
    <row r="270" spans="1:26" x14ac:dyDescent="0.35">
      <c r="A270" s="7">
        <v>1309</v>
      </c>
      <c r="B270" s="8">
        <v>41916</v>
      </c>
      <c r="C270" s="7">
        <v>4</v>
      </c>
      <c r="D270" s="7" t="s">
        <v>40</v>
      </c>
      <c r="E270" s="7" t="s">
        <v>41</v>
      </c>
      <c r="F270" s="7" t="s">
        <v>42</v>
      </c>
      <c r="G270" s="7" t="s">
        <v>43</v>
      </c>
      <c r="H270" s="7">
        <v>99999</v>
      </c>
      <c r="I270" s="7" t="s">
        <v>30</v>
      </c>
      <c r="J270" s="7" t="s">
        <v>44</v>
      </c>
      <c r="K270" s="7" t="s">
        <v>45</v>
      </c>
      <c r="L270" s="8">
        <v>41918</v>
      </c>
      <c r="M270" s="7" t="s">
        <v>46</v>
      </c>
      <c r="N270" s="7" t="s">
        <v>47</v>
      </c>
      <c r="O270" s="7" t="s">
        <v>41</v>
      </c>
      <c r="P270" s="7" t="s">
        <v>42</v>
      </c>
      <c r="Q270" s="7" t="s">
        <v>43</v>
      </c>
      <c r="R270" s="7">
        <v>99999</v>
      </c>
      <c r="S270" s="7" t="s">
        <v>30</v>
      </c>
      <c r="T270" s="7" t="s">
        <v>48</v>
      </c>
      <c r="U270" s="7" t="s">
        <v>149</v>
      </c>
      <c r="V270" s="7" t="s">
        <v>110</v>
      </c>
      <c r="W270" s="7">
        <v>81</v>
      </c>
      <c r="X270" s="7">
        <v>82</v>
      </c>
      <c r="Y270" s="10">
        <v>6642</v>
      </c>
      <c r="Z270" s="9">
        <v>697.41000000000008</v>
      </c>
    </row>
    <row r="271" spans="1:26" x14ac:dyDescent="0.35">
      <c r="A271" s="7">
        <v>1310</v>
      </c>
      <c r="B271" s="8">
        <v>41916</v>
      </c>
      <c r="C271" s="7">
        <v>4</v>
      </c>
      <c r="D271" s="7" t="s">
        <v>40</v>
      </c>
      <c r="E271" s="7" t="s">
        <v>41</v>
      </c>
      <c r="F271" s="7" t="s">
        <v>42</v>
      </c>
      <c r="G271" s="7" t="s">
        <v>43</v>
      </c>
      <c r="H271" s="7">
        <v>99999</v>
      </c>
      <c r="I271" s="7" t="s">
        <v>30</v>
      </c>
      <c r="J271" s="7" t="s">
        <v>44</v>
      </c>
      <c r="K271" s="7" t="s">
        <v>45</v>
      </c>
      <c r="L271" s="8">
        <v>41918</v>
      </c>
      <c r="M271" s="7" t="s">
        <v>46</v>
      </c>
      <c r="N271" s="7" t="s">
        <v>47</v>
      </c>
      <c r="O271" s="7" t="s">
        <v>41</v>
      </c>
      <c r="P271" s="7" t="s">
        <v>42</v>
      </c>
      <c r="Q271" s="7" t="s">
        <v>43</v>
      </c>
      <c r="R271" s="7">
        <v>99999</v>
      </c>
      <c r="S271" s="7" t="s">
        <v>30</v>
      </c>
      <c r="T271" s="7" t="s">
        <v>48</v>
      </c>
      <c r="U271" s="7" t="s">
        <v>150</v>
      </c>
      <c r="V271" s="7" t="s">
        <v>151</v>
      </c>
      <c r="W271" s="7">
        <v>7</v>
      </c>
      <c r="X271" s="7">
        <v>29</v>
      </c>
      <c r="Y271" s="10">
        <v>203</v>
      </c>
      <c r="Z271" s="9">
        <v>20.3</v>
      </c>
    </row>
    <row r="272" spans="1:26" x14ac:dyDescent="0.35">
      <c r="A272" s="7">
        <v>1312</v>
      </c>
      <c r="B272" s="8">
        <v>41920</v>
      </c>
      <c r="C272" s="7">
        <v>8</v>
      </c>
      <c r="D272" s="7" t="s">
        <v>56</v>
      </c>
      <c r="E272" s="7" t="s">
        <v>57</v>
      </c>
      <c r="F272" s="7" t="s">
        <v>58</v>
      </c>
      <c r="G272" s="7" t="s">
        <v>59</v>
      </c>
      <c r="H272" s="7">
        <v>99999</v>
      </c>
      <c r="I272" s="7" t="s">
        <v>30</v>
      </c>
      <c r="J272" s="7" t="s">
        <v>60</v>
      </c>
      <c r="K272" s="7" t="s">
        <v>61</v>
      </c>
      <c r="L272" s="8">
        <v>41922</v>
      </c>
      <c r="M272" s="7" t="s">
        <v>62</v>
      </c>
      <c r="N272" s="7" t="s">
        <v>63</v>
      </c>
      <c r="O272" s="7" t="s">
        <v>57</v>
      </c>
      <c r="P272" s="7" t="s">
        <v>58</v>
      </c>
      <c r="Q272" s="7" t="s">
        <v>59</v>
      </c>
      <c r="R272" s="7">
        <v>99999</v>
      </c>
      <c r="S272" s="7" t="s">
        <v>30</v>
      </c>
      <c r="T272" s="7" t="s">
        <v>48</v>
      </c>
      <c r="U272" s="7" t="s">
        <v>133</v>
      </c>
      <c r="V272" s="7" t="s">
        <v>134</v>
      </c>
      <c r="W272" s="7">
        <v>34.799999999999997</v>
      </c>
      <c r="X272" s="7">
        <v>93</v>
      </c>
      <c r="Y272" s="10">
        <v>3236.3999999999996</v>
      </c>
      <c r="Z272" s="9">
        <v>313.93079999999998</v>
      </c>
    </row>
    <row r="273" spans="1:26" x14ac:dyDescent="0.35">
      <c r="A273" s="7">
        <v>1315</v>
      </c>
      <c r="B273" s="8">
        <v>41915</v>
      </c>
      <c r="C273" s="7">
        <v>3</v>
      </c>
      <c r="D273" s="7" t="s">
        <v>74</v>
      </c>
      <c r="E273" s="7" t="s">
        <v>75</v>
      </c>
      <c r="F273" s="7" t="s">
        <v>76</v>
      </c>
      <c r="G273" s="7" t="s">
        <v>77</v>
      </c>
      <c r="H273" s="7">
        <v>99999</v>
      </c>
      <c r="I273" s="7" t="s">
        <v>30</v>
      </c>
      <c r="J273" s="7" t="s">
        <v>31</v>
      </c>
      <c r="K273" s="7" t="s">
        <v>32</v>
      </c>
      <c r="L273" s="8">
        <v>41917</v>
      </c>
      <c r="M273" s="7" t="s">
        <v>33</v>
      </c>
      <c r="N273" s="7" t="s">
        <v>78</v>
      </c>
      <c r="O273" s="7" t="s">
        <v>75</v>
      </c>
      <c r="P273" s="7" t="s">
        <v>76</v>
      </c>
      <c r="Q273" s="7" t="s">
        <v>77</v>
      </c>
      <c r="R273" s="7">
        <v>99999</v>
      </c>
      <c r="S273" s="7" t="s">
        <v>30</v>
      </c>
      <c r="T273" s="7" t="s">
        <v>79</v>
      </c>
      <c r="U273" s="7" t="s">
        <v>135</v>
      </c>
      <c r="V273" s="7" t="s">
        <v>112</v>
      </c>
      <c r="W273" s="7">
        <v>10</v>
      </c>
      <c r="X273" s="7">
        <v>11</v>
      </c>
      <c r="Y273" s="10">
        <v>110</v>
      </c>
      <c r="Z273" s="9">
        <v>11.440000000000001</v>
      </c>
    </row>
    <row r="274" spans="1:26" x14ac:dyDescent="0.35">
      <c r="A274" s="7">
        <v>1316</v>
      </c>
      <c r="B274" s="8">
        <v>41915</v>
      </c>
      <c r="C274" s="7">
        <v>3</v>
      </c>
      <c r="D274" s="7" t="s">
        <v>74</v>
      </c>
      <c r="E274" s="7" t="s">
        <v>75</v>
      </c>
      <c r="F274" s="7" t="s">
        <v>76</v>
      </c>
      <c r="G274" s="7" t="s">
        <v>77</v>
      </c>
      <c r="H274" s="7">
        <v>99999</v>
      </c>
      <c r="I274" s="7" t="s">
        <v>30</v>
      </c>
      <c r="J274" s="7" t="s">
        <v>31</v>
      </c>
      <c r="K274" s="7" t="s">
        <v>32</v>
      </c>
      <c r="L274" s="8">
        <v>41917</v>
      </c>
      <c r="M274" s="7" t="s">
        <v>33</v>
      </c>
      <c r="N274" s="7" t="s">
        <v>78</v>
      </c>
      <c r="O274" s="7" t="s">
        <v>75</v>
      </c>
      <c r="P274" s="7" t="s">
        <v>76</v>
      </c>
      <c r="Q274" s="7" t="s">
        <v>77</v>
      </c>
      <c r="R274" s="7">
        <v>99999</v>
      </c>
      <c r="S274" s="7" t="s">
        <v>30</v>
      </c>
      <c r="T274" s="7" t="s">
        <v>79</v>
      </c>
      <c r="U274" s="7" t="s">
        <v>88</v>
      </c>
      <c r="V274" s="7" t="s">
        <v>89</v>
      </c>
      <c r="W274" s="7">
        <v>40</v>
      </c>
      <c r="X274" s="7">
        <v>91</v>
      </c>
      <c r="Y274" s="10">
        <v>3640</v>
      </c>
      <c r="Z274" s="9">
        <v>364</v>
      </c>
    </row>
    <row r="275" spans="1:26" x14ac:dyDescent="0.35">
      <c r="A275" s="7">
        <v>1320</v>
      </c>
      <c r="B275" s="8">
        <v>41922</v>
      </c>
      <c r="C275" s="7">
        <v>10</v>
      </c>
      <c r="D275" s="7" t="s">
        <v>97</v>
      </c>
      <c r="E275" s="7" t="s">
        <v>98</v>
      </c>
      <c r="F275" s="7" t="s">
        <v>99</v>
      </c>
      <c r="G275" s="7" t="s">
        <v>100</v>
      </c>
      <c r="H275" s="7">
        <v>99999</v>
      </c>
      <c r="I275" s="7" t="s">
        <v>30</v>
      </c>
      <c r="J275" s="7" t="s">
        <v>101</v>
      </c>
      <c r="K275" s="7" t="s">
        <v>45</v>
      </c>
      <c r="L275" s="8">
        <v>41924</v>
      </c>
      <c r="M275" s="7" t="s">
        <v>33</v>
      </c>
      <c r="N275" s="7" t="s">
        <v>102</v>
      </c>
      <c r="O275" s="7" t="s">
        <v>98</v>
      </c>
      <c r="P275" s="7" t="s">
        <v>99</v>
      </c>
      <c r="Q275" s="7" t="s">
        <v>100</v>
      </c>
      <c r="R275" s="7">
        <v>99999</v>
      </c>
      <c r="S275" s="7" t="s">
        <v>30</v>
      </c>
      <c r="T275" s="7" t="s">
        <v>48</v>
      </c>
      <c r="U275" s="7" t="s">
        <v>136</v>
      </c>
      <c r="V275" s="7" t="s">
        <v>39</v>
      </c>
      <c r="W275" s="7">
        <v>10</v>
      </c>
      <c r="X275" s="7">
        <v>12</v>
      </c>
      <c r="Y275" s="10">
        <v>120</v>
      </c>
      <c r="Z275" s="9">
        <v>12.36</v>
      </c>
    </row>
    <row r="276" spans="1:26" x14ac:dyDescent="0.35">
      <c r="A276" s="7">
        <v>1322</v>
      </c>
      <c r="B276" s="8">
        <v>41922</v>
      </c>
      <c r="C276" s="7">
        <v>10</v>
      </c>
      <c r="D276" s="7" t="s">
        <v>97</v>
      </c>
      <c r="E276" s="7" t="s">
        <v>98</v>
      </c>
      <c r="F276" s="7" t="s">
        <v>99</v>
      </c>
      <c r="G276" s="7" t="s">
        <v>100</v>
      </c>
      <c r="H276" s="7">
        <v>99999</v>
      </c>
      <c r="I276" s="7" t="s">
        <v>30</v>
      </c>
      <c r="J276" s="7" t="s">
        <v>101</v>
      </c>
      <c r="K276" s="7" t="s">
        <v>45</v>
      </c>
      <c r="L276" s="8"/>
      <c r="M276" s="7" t="s">
        <v>46</v>
      </c>
      <c r="N276" s="7" t="s">
        <v>102</v>
      </c>
      <c r="O276" s="7" t="s">
        <v>98</v>
      </c>
      <c r="P276" s="7" t="s">
        <v>99</v>
      </c>
      <c r="Q276" s="7" t="s">
        <v>100</v>
      </c>
      <c r="R276" s="7">
        <v>99999</v>
      </c>
      <c r="S276" s="7" t="s">
        <v>30</v>
      </c>
      <c r="U276" s="7" t="s">
        <v>38</v>
      </c>
      <c r="V276" s="7" t="s">
        <v>39</v>
      </c>
      <c r="W276" s="7">
        <v>3.5</v>
      </c>
      <c r="X276" s="7">
        <v>78</v>
      </c>
      <c r="Y276" s="10">
        <v>273</v>
      </c>
      <c r="Z276" s="9">
        <v>27.3</v>
      </c>
    </row>
    <row r="277" spans="1:26" x14ac:dyDescent="0.35">
      <c r="A277" s="7">
        <v>1323</v>
      </c>
      <c r="B277" s="8">
        <v>41923</v>
      </c>
      <c r="C277" s="7">
        <v>11</v>
      </c>
      <c r="D277" s="7" t="s">
        <v>113</v>
      </c>
      <c r="E277" s="7" t="s">
        <v>114</v>
      </c>
      <c r="F277" s="7" t="s">
        <v>115</v>
      </c>
      <c r="G277" s="7" t="s">
        <v>116</v>
      </c>
      <c r="H277" s="7">
        <v>99999</v>
      </c>
      <c r="I277" s="7" t="s">
        <v>30</v>
      </c>
      <c r="J277" s="7" t="s">
        <v>94</v>
      </c>
      <c r="K277" s="7" t="s">
        <v>95</v>
      </c>
      <c r="L277" s="8"/>
      <c r="M277" s="7" t="s">
        <v>62</v>
      </c>
      <c r="N277" s="7" t="s">
        <v>117</v>
      </c>
      <c r="O277" s="7" t="s">
        <v>114</v>
      </c>
      <c r="P277" s="7" t="s">
        <v>115</v>
      </c>
      <c r="Q277" s="7" t="s">
        <v>116</v>
      </c>
      <c r="R277" s="7">
        <v>99999</v>
      </c>
      <c r="S277" s="7" t="s">
        <v>30</v>
      </c>
      <c r="U277" s="7" t="s">
        <v>88</v>
      </c>
      <c r="V277" s="7" t="s">
        <v>89</v>
      </c>
      <c r="W277" s="7">
        <v>40</v>
      </c>
      <c r="X277" s="7">
        <v>60</v>
      </c>
      <c r="Y277" s="10">
        <v>2400</v>
      </c>
      <c r="Z277" s="9">
        <v>228</v>
      </c>
    </row>
    <row r="278" spans="1:26" x14ac:dyDescent="0.35">
      <c r="A278" s="7">
        <v>1324</v>
      </c>
      <c r="B278" s="8">
        <v>41913</v>
      </c>
      <c r="C278" s="7">
        <v>1</v>
      </c>
      <c r="D278" s="7" t="s">
        <v>118</v>
      </c>
      <c r="E278" s="7" t="s">
        <v>119</v>
      </c>
      <c r="F278" s="7" t="s">
        <v>120</v>
      </c>
      <c r="G278" s="7" t="s">
        <v>121</v>
      </c>
      <c r="H278" s="7">
        <v>99999</v>
      </c>
      <c r="I278" s="7" t="s">
        <v>30</v>
      </c>
      <c r="J278" s="7" t="s">
        <v>60</v>
      </c>
      <c r="K278" s="7" t="s">
        <v>61</v>
      </c>
      <c r="L278" s="8"/>
      <c r="M278" s="7" t="s">
        <v>62</v>
      </c>
      <c r="N278" s="7" t="s">
        <v>122</v>
      </c>
      <c r="O278" s="7" t="s">
        <v>119</v>
      </c>
      <c r="P278" s="7" t="s">
        <v>120</v>
      </c>
      <c r="Q278" s="7" t="s">
        <v>121</v>
      </c>
      <c r="R278" s="7">
        <v>99999</v>
      </c>
      <c r="S278" s="7" t="s">
        <v>30</v>
      </c>
      <c r="U278" s="7" t="s">
        <v>123</v>
      </c>
      <c r="V278" s="7" t="s">
        <v>124</v>
      </c>
      <c r="W278" s="7">
        <v>18.399999999999999</v>
      </c>
      <c r="X278" s="7">
        <v>23</v>
      </c>
      <c r="Y278" s="10">
        <v>423.2</v>
      </c>
      <c r="Z278" s="9">
        <v>43.589600000000004</v>
      </c>
    </row>
    <row r="279" spans="1:26" x14ac:dyDescent="0.35">
      <c r="A279" s="7">
        <v>1325</v>
      </c>
      <c r="B279" s="8">
        <v>41940</v>
      </c>
      <c r="C279" s="7">
        <v>28</v>
      </c>
      <c r="D279" s="7" t="s">
        <v>90</v>
      </c>
      <c r="E279" s="7" t="s">
        <v>91</v>
      </c>
      <c r="F279" s="7" t="s">
        <v>92</v>
      </c>
      <c r="G279" s="7" t="s">
        <v>93</v>
      </c>
      <c r="H279" s="7">
        <v>99999</v>
      </c>
      <c r="I279" s="7" t="s">
        <v>30</v>
      </c>
      <c r="J279" s="7" t="s">
        <v>94</v>
      </c>
      <c r="K279" s="7" t="s">
        <v>95</v>
      </c>
      <c r="L279" s="8">
        <v>41942</v>
      </c>
      <c r="M279" s="7" t="s">
        <v>62</v>
      </c>
      <c r="N279" s="7" t="s">
        <v>96</v>
      </c>
      <c r="O279" s="7" t="s">
        <v>91</v>
      </c>
      <c r="P279" s="7" t="s">
        <v>92</v>
      </c>
      <c r="Q279" s="7" t="s">
        <v>93</v>
      </c>
      <c r="R279" s="7">
        <v>99999</v>
      </c>
      <c r="S279" s="7" t="s">
        <v>30</v>
      </c>
      <c r="T279" s="7" t="s">
        <v>48</v>
      </c>
      <c r="U279" s="7" t="s">
        <v>55</v>
      </c>
      <c r="V279" s="7" t="s">
        <v>37</v>
      </c>
      <c r="W279" s="7">
        <v>46</v>
      </c>
      <c r="X279" s="7">
        <v>34</v>
      </c>
      <c r="Y279" s="10">
        <v>1564</v>
      </c>
      <c r="Z279" s="9">
        <v>157.964</v>
      </c>
    </row>
    <row r="280" spans="1:26" x14ac:dyDescent="0.35">
      <c r="A280" s="7">
        <v>1326</v>
      </c>
      <c r="B280" s="8">
        <v>41921</v>
      </c>
      <c r="C280" s="7">
        <v>9</v>
      </c>
      <c r="D280" s="7" t="s">
        <v>125</v>
      </c>
      <c r="E280" s="7" t="s">
        <v>126</v>
      </c>
      <c r="F280" s="7" t="s">
        <v>127</v>
      </c>
      <c r="G280" s="7" t="s">
        <v>128</v>
      </c>
      <c r="H280" s="7">
        <v>99999</v>
      </c>
      <c r="I280" s="7" t="s">
        <v>30</v>
      </c>
      <c r="J280" s="7" t="s">
        <v>129</v>
      </c>
      <c r="K280" s="7" t="s">
        <v>32</v>
      </c>
      <c r="L280" s="8">
        <v>41923</v>
      </c>
      <c r="M280" s="7" t="s">
        <v>46</v>
      </c>
      <c r="N280" s="7" t="s">
        <v>130</v>
      </c>
      <c r="O280" s="7" t="s">
        <v>126</v>
      </c>
      <c r="P280" s="7" t="s">
        <v>127</v>
      </c>
      <c r="Q280" s="7" t="s">
        <v>128</v>
      </c>
      <c r="R280" s="7">
        <v>99999</v>
      </c>
      <c r="S280" s="7" t="s">
        <v>30</v>
      </c>
      <c r="T280" s="7" t="s">
        <v>35</v>
      </c>
      <c r="U280" s="7" t="s">
        <v>80</v>
      </c>
      <c r="V280" s="7" t="s">
        <v>81</v>
      </c>
      <c r="W280" s="7">
        <v>9.65</v>
      </c>
      <c r="X280" s="7">
        <v>89</v>
      </c>
      <c r="Y280" s="10">
        <v>858.85</v>
      </c>
      <c r="Z280" s="9">
        <v>86.743850000000009</v>
      </c>
    </row>
    <row r="281" spans="1:26" x14ac:dyDescent="0.35">
      <c r="A281" s="7">
        <v>1327</v>
      </c>
      <c r="B281" s="8">
        <v>41918</v>
      </c>
      <c r="C281" s="7">
        <v>6</v>
      </c>
      <c r="D281" s="7" t="s">
        <v>82</v>
      </c>
      <c r="E281" s="7" t="s">
        <v>83</v>
      </c>
      <c r="F281" s="7" t="s">
        <v>84</v>
      </c>
      <c r="G281" s="7" t="s">
        <v>85</v>
      </c>
      <c r="H281" s="7">
        <v>99999</v>
      </c>
      <c r="I281" s="7" t="s">
        <v>30</v>
      </c>
      <c r="J281" s="7" t="s">
        <v>86</v>
      </c>
      <c r="K281" s="7" t="s">
        <v>61</v>
      </c>
      <c r="L281" s="8">
        <v>41920</v>
      </c>
      <c r="M281" s="7" t="s">
        <v>33</v>
      </c>
      <c r="N281" s="7" t="s">
        <v>87</v>
      </c>
      <c r="O281" s="7" t="s">
        <v>83</v>
      </c>
      <c r="P281" s="7" t="s">
        <v>84</v>
      </c>
      <c r="Q281" s="7" t="s">
        <v>85</v>
      </c>
      <c r="R281" s="7">
        <v>99999</v>
      </c>
      <c r="S281" s="7" t="s">
        <v>30</v>
      </c>
      <c r="T281" s="7" t="s">
        <v>48</v>
      </c>
      <c r="U281" s="7" t="s">
        <v>72</v>
      </c>
      <c r="V281" s="7" t="s">
        <v>73</v>
      </c>
      <c r="W281" s="7">
        <v>12.75</v>
      </c>
      <c r="X281" s="7">
        <v>82</v>
      </c>
      <c r="Y281" s="10">
        <v>1045.5</v>
      </c>
      <c r="Z281" s="9">
        <v>103.50450000000001</v>
      </c>
    </row>
    <row r="282" spans="1:26" x14ac:dyDescent="0.35">
      <c r="A282" s="7">
        <v>1328</v>
      </c>
      <c r="B282" s="8">
        <v>41920</v>
      </c>
      <c r="C282" s="7">
        <v>8</v>
      </c>
      <c r="D282" s="7" t="s">
        <v>56</v>
      </c>
      <c r="E282" s="7" t="s">
        <v>57</v>
      </c>
      <c r="F282" s="7" t="s">
        <v>58</v>
      </c>
      <c r="G282" s="7" t="s">
        <v>59</v>
      </c>
      <c r="H282" s="7">
        <v>99999</v>
      </c>
      <c r="I282" s="7" t="s">
        <v>30</v>
      </c>
      <c r="J282" s="7" t="s">
        <v>60</v>
      </c>
      <c r="K282" s="7" t="s">
        <v>61</v>
      </c>
      <c r="L282" s="8">
        <v>41922</v>
      </c>
      <c r="M282" s="7" t="s">
        <v>33</v>
      </c>
      <c r="N282" s="7" t="s">
        <v>63</v>
      </c>
      <c r="O282" s="7" t="s">
        <v>57</v>
      </c>
      <c r="P282" s="7" t="s">
        <v>58</v>
      </c>
      <c r="Q282" s="7" t="s">
        <v>59</v>
      </c>
      <c r="R282" s="7">
        <v>99999</v>
      </c>
      <c r="S282" s="7" t="s">
        <v>30</v>
      </c>
      <c r="T282" s="7" t="s">
        <v>35</v>
      </c>
      <c r="U282" s="7" t="s">
        <v>72</v>
      </c>
      <c r="V282" s="7" t="s">
        <v>73</v>
      </c>
      <c r="W282" s="7">
        <v>12.75</v>
      </c>
      <c r="X282" s="7">
        <v>43</v>
      </c>
      <c r="Y282" s="10">
        <v>548.25</v>
      </c>
      <c r="Z282" s="9">
        <v>52.631999999999998</v>
      </c>
    </row>
    <row r="283" spans="1:26" x14ac:dyDescent="0.35">
      <c r="A283" s="7">
        <v>1329</v>
      </c>
      <c r="B283" s="8">
        <v>41953</v>
      </c>
      <c r="C283" s="7">
        <v>10</v>
      </c>
      <c r="D283" s="7" t="s">
        <v>97</v>
      </c>
      <c r="E283" s="7" t="s">
        <v>98</v>
      </c>
      <c r="F283" s="7" t="s">
        <v>99</v>
      </c>
      <c r="G283" s="7" t="s">
        <v>100</v>
      </c>
      <c r="H283" s="7">
        <v>99999</v>
      </c>
      <c r="I283" s="7" t="s">
        <v>30</v>
      </c>
      <c r="J283" s="7" t="s">
        <v>101</v>
      </c>
      <c r="K283" s="7" t="s">
        <v>45</v>
      </c>
      <c r="L283" s="8">
        <v>41955</v>
      </c>
      <c r="M283" s="7" t="s">
        <v>46</v>
      </c>
      <c r="N283" s="7" t="s">
        <v>102</v>
      </c>
      <c r="O283" s="7" t="s">
        <v>98</v>
      </c>
      <c r="P283" s="7" t="s">
        <v>99</v>
      </c>
      <c r="Q283" s="7" t="s">
        <v>100</v>
      </c>
      <c r="R283" s="7">
        <v>99999</v>
      </c>
      <c r="S283" s="7" t="s">
        <v>30</v>
      </c>
      <c r="U283" s="7" t="s">
        <v>111</v>
      </c>
      <c r="V283" s="7" t="s">
        <v>112</v>
      </c>
      <c r="W283" s="9">
        <v>22</v>
      </c>
      <c r="X283" s="7">
        <v>96</v>
      </c>
      <c r="Y283" s="10">
        <v>2112</v>
      </c>
      <c r="Z283" s="9">
        <v>221.76000000000002</v>
      </c>
    </row>
    <row r="284" spans="1:26" x14ac:dyDescent="0.35">
      <c r="A284" s="7">
        <v>1330</v>
      </c>
      <c r="B284" s="8">
        <v>41953</v>
      </c>
      <c r="C284" s="7">
        <v>10</v>
      </c>
      <c r="D284" s="7" t="s">
        <v>97</v>
      </c>
      <c r="E284" s="7" t="s">
        <v>98</v>
      </c>
      <c r="F284" s="7" t="s">
        <v>99</v>
      </c>
      <c r="G284" s="7" t="s">
        <v>100</v>
      </c>
      <c r="H284" s="7">
        <v>99999</v>
      </c>
      <c r="I284" s="7" t="s">
        <v>30</v>
      </c>
      <c r="J284" s="7" t="s">
        <v>101</v>
      </c>
      <c r="K284" s="7" t="s">
        <v>45</v>
      </c>
      <c r="L284" s="8">
        <v>41955</v>
      </c>
      <c r="M284" s="7" t="s">
        <v>46</v>
      </c>
      <c r="N284" s="7" t="s">
        <v>102</v>
      </c>
      <c r="O284" s="7" t="s">
        <v>98</v>
      </c>
      <c r="P284" s="7" t="s">
        <v>99</v>
      </c>
      <c r="Q284" s="7" t="s">
        <v>100</v>
      </c>
      <c r="R284" s="7">
        <v>99999</v>
      </c>
      <c r="S284" s="7" t="s">
        <v>30</v>
      </c>
      <c r="U284" s="7" t="s">
        <v>64</v>
      </c>
      <c r="V284" s="7" t="s">
        <v>65</v>
      </c>
      <c r="W284" s="9">
        <v>9.1999999999999993</v>
      </c>
      <c r="X284" s="7">
        <v>34</v>
      </c>
      <c r="Y284" s="10">
        <v>312.79999999999995</v>
      </c>
      <c r="Z284" s="9">
        <v>31.279999999999998</v>
      </c>
    </row>
    <row r="285" spans="1:26" x14ac:dyDescent="0.35">
      <c r="A285" s="7">
        <v>1331</v>
      </c>
      <c r="B285" s="8">
        <v>41954</v>
      </c>
      <c r="C285" s="7">
        <v>11</v>
      </c>
      <c r="D285" s="7" t="s">
        <v>113</v>
      </c>
      <c r="E285" s="7" t="s">
        <v>114</v>
      </c>
      <c r="F285" s="7" t="s">
        <v>115</v>
      </c>
      <c r="G285" s="7" t="s">
        <v>116</v>
      </c>
      <c r="H285" s="7">
        <v>99999</v>
      </c>
      <c r="I285" s="7" t="s">
        <v>30</v>
      </c>
      <c r="J285" s="7" t="s">
        <v>94</v>
      </c>
      <c r="K285" s="7" t="s">
        <v>95</v>
      </c>
      <c r="L285" s="8"/>
      <c r="M285" s="7" t="s">
        <v>62</v>
      </c>
      <c r="N285" s="7" t="s">
        <v>117</v>
      </c>
      <c r="O285" s="7" t="s">
        <v>114</v>
      </c>
      <c r="P285" s="7" t="s">
        <v>115</v>
      </c>
      <c r="Q285" s="7" t="s">
        <v>116</v>
      </c>
      <c r="R285" s="7">
        <v>99999</v>
      </c>
      <c r="S285" s="7" t="s">
        <v>30</v>
      </c>
      <c r="U285" s="7" t="s">
        <v>38</v>
      </c>
      <c r="V285" s="7" t="s">
        <v>39</v>
      </c>
      <c r="W285" s="9">
        <v>3.5</v>
      </c>
      <c r="X285" s="7">
        <v>42</v>
      </c>
      <c r="Y285" s="10">
        <v>147</v>
      </c>
      <c r="Z285" s="9">
        <v>15.141000000000002</v>
      </c>
    </row>
    <row r="286" spans="1:26" x14ac:dyDescent="0.35">
      <c r="A286" s="7">
        <v>1332</v>
      </c>
      <c r="B286" s="8">
        <v>41954</v>
      </c>
      <c r="C286" s="7">
        <v>11</v>
      </c>
      <c r="D286" s="7" t="s">
        <v>113</v>
      </c>
      <c r="E286" s="7" t="s">
        <v>114</v>
      </c>
      <c r="F286" s="7" t="s">
        <v>115</v>
      </c>
      <c r="G286" s="7" t="s">
        <v>116</v>
      </c>
      <c r="H286" s="7">
        <v>99999</v>
      </c>
      <c r="I286" s="7" t="s">
        <v>30</v>
      </c>
      <c r="J286" s="7" t="s">
        <v>94</v>
      </c>
      <c r="K286" s="7" t="s">
        <v>95</v>
      </c>
      <c r="L286" s="8"/>
      <c r="M286" s="7" t="s">
        <v>62</v>
      </c>
      <c r="N286" s="7" t="s">
        <v>117</v>
      </c>
      <c r="O286" s="7" t="s">
        <v>114</v>
      </c>
      <c r="P286" s="7" t="s">
        <v>115</v>
      </c>
      <c r="Q286" s="7" t="s">
        <v>116</v>
      </c>
      <c r="R286" s="7">
        <v>99999</v>
      </c>
      <c r="S286" s="7" t="s">
        <v>30</v>
      </c>
      <c r="U286" s="7" t="s">
        <v>103</v>
      </c>
      <c r="V286" s="7" t="s">
        <v>37</v>
      </c>
      <c r="W286" s="9">
        <v>2.99</v>
      </c>
      <c r="X286" s="7">
        <v>100</v>
      </c>
      <c r="Y286" s="10">
        <v>299</v>
      </c>
      <c r="Z286" s="9">
        <v>30.498000000000001</v>
      </c>
    </row>
    <row r="287" spans="1:26" x14ac:dyDescent="0.35">
      <c r="A287" s="7">
        <v>1333</v>
      </c>
      <c r="B287" s="8">
        <v>41944</v>
      </c>
      <c r="C287" s="7">
        <v>1</v>
      </c>
      <c r="D287" s="7" t="s">
        <v>118</v>
      </c>
      <c r="E287" s="7" t="s">
        <v>119</v>
      </c>
      <c r="F287" s="7" t="s">
        <v>120</v>
      </c>
      <c r="G287" s="7" t="s">
        <v>121</v>
      </c>
      <c r="H287" s="7">
        <v>99999</v>
      </c>
      <c r="I287" s="7" t="s">
        <v>30</v>
      </c>
      <c r="J287" s="7" t="s">
        <v>60</v>
      </c>
      <c r="K287" s="7" t="s">
        <v>61</v>
      </c>
      <c r="N287" s="7" t="s">
        <v>122</v>
      </c>
      <c r="O287" s="7" t="s">
        <v>119</v>
      </c>
      <c r="P287" s="7" t="s">
        <v>120</v>
      </c>
      <c r="Q287" s="7" t="s">
        <v>121</v>
      </c>
      <c r="R287" s="7">
        <v>99999</v>
      </c>
      <c r="S287" s="7" t="s">
        <v>30</v>
      </c>
      <c r="U287" s="7" t="s">
        <v>54</v>
      </c>
      <c r="V287" s="7" t="s">
        <v>37</v>
      </c>
      <c r="W287" s="9">
        <v>18</v>
      </c>
      <c r="X287" s="7">
        <v>42</v>
      </c>
      <c r="Y287" s="10">
        <v>756</v>
      </c>
      <c r="Z287" s="9">
        <v>76.356000000000009</v>
      </c>
    </row>
    <row r="288" spans="1:26" x14ac:dyDescent="0.35">
      <c r="A288" s="7">
        <v>1334</v>
      </c>
      <c r="B288" s="8">
        <v>41944</v>
      </c>
      <c r="C288" s="7">
        <v>1</v>
      </c>
      <c r="D288" s="7" t="s">
        <v>118</v>
      </c>
      <c r="E288" s="7" t="s">
        <v>119</v>
      </c>
      <c r="F288" s="7" t="s">
        <v>120</v>
      </c>
      <c r="G288" s="7" t="s">
        <v>121</v>
      </c>
      <c r="H288" s="7">
        <v>99999</v>
      </c>
      <c r="I288" s="7" t="s">
        <v>30</v>
      </c>
      <c r="J288" s="7" t="s">
        <v>60</v>
      </c>
      <c r="K288" s="7" t="s">
        <v>61</v>
      </c>
      <c r="L288" s="8"/>
      <c r="N288" s="7" t="s">
        <v>122</v>
      </c>
      <c r="O288" s="7" t="s">
        <v>119</v>
      </c>
      <c r="P288" s="7" t="s">
        <v>120</v>
      </c>
      <c r="Q288" s="7" t="s">
        <v>121</v>
      </c>
      <c r="R288" s="7">
        <v>99999</v>
      </c>
      <c r="S288" s="7" t="s">
        <v>30</v>
      </c>
      <c r="U288" s="7" t="s">
        <v>55</v>
      </c>
      <c r="V288" s="7" t="s">
        <v>37</v>
      </c>
      <c r="W288" s="9">
        <v>46</v>
      </c>
      <c r="X288" s="7">
        <v>16</v>
      </c>
      <c r="Y288" s="10">
        <v>736</v>
      </c>
      <c r="Z288" s="9">
        <v>70.656000000000006</v>
      </c>
    </row>
    <row r="289" spans="1:26" x14ac:dyDescent="0.35">
      <c r="A289" s="7">
        <v>1335</v>
      </c>
      <c r="B289" s="8">
        <v>41944</v>
      </c>
      <c r="C289" s="7">
        <v>1</v>
      </c>
      <c r="D289" s="7" t="s">
        <v>118</v>
      </c>
      <c r="E289" s="7" t="s">
        <v>119</v>
      </c>
      <c r="F289" s="7" t="s">
        <v>120</v>
      </c>
      <c r="G289" s="7" t="s">
        <v>121</v>
      </c>
      <c r="H289" s="7">
        <v>99999</v>
      </c>
      <c r="I289" s="7" t="s">
        <v>30</v>
      </c>
      <c r="J289" s="7" t="s">
        <v>60</v>
      </c>
      <c r="K289" s="7" t="s">
        <v>61</v>
      </c>
      <c r="L289" s="8"/>
      <c r="N289" s="7" t="s">
        <v>122</v>
      </c>
      <c r="O289" s="7" t="s">
        <v>119</v>
      </c>
      <c r="P289" s="7" t="s">
        <v>120</v>
      </c>
      <c r="Q289" s="7" t="s">
        <v>121</v>
      </c>
      <c r="R289" s="7">
        <v>99999</v>
      </c>
      <c r="S289" s="7" t="s">
        <v>30</v>
      </c>
      <c r="U289" s="7" t="s">
        <v>103</v>
      </c>
      <c r="V289" s="7" t="s">
        <v>37</v>
      </c>
      <c r="W289" s="9">
        <v>2.99</v>
      </c>
      <c r="X289" s="7">
        <v>22</v>
      </c>
      <c r="Y289" s="10">
        <v>65.78</v>
      </c>
      <c r="Z289" s="9">
        <v>6.3806599999999998</v>
      </c>
    </row>
    <row r="290" spans="1:26" x14ac:dyDescent="0.35">
      <c r="A290" s="7">
        <v>1336</v>
      </c>
      <c r="B290" s="8">
        <v>41971</v>
      </c>
      <c r="C290" s="7">
        <v>28</v>
      </c>
      <c r="D290" s="7" t="s">
        <v>90</v>
      </c>
      <c r="E290" s="7" t="s">
        <v>91</v>
      </c>
      <c r="F290" s="7" t="s">
        <v>92</v>
      </c>
      <c r="G290" s="7" t="s">
        <v>93</v>
      </c>
      <c r="H290" s="7">
        <v>99999</v>
      </c>
      <c r="I290" s="7" t="s">
        <v>30</v>
      </c>
      <c r="J290" s="7" t="s">
        <v>94</v>
      </c>
      <c r="K290" s="7" t="s">
        <v>95</v>
      </c>
      <c r="L290" s="8">
        <v>41973</v>
      </c>
      <c r="M290" s="7" t="s">
        <v>62</v>
      </c>
      <c r="N290" s="7" t="s">
        <v>96</v>
      </c>
      <c r="O290" s="7" t="s">
        <v>91</v>
      </c>
      <c r="P290" s="7" t="s">
        <v>92</v>
      </c>
      <c r="Q290" s="7" t="s">
        <v>93</v>
      </c>
      <c r="R290" s="7">
        <v>99999</v>
      </c>
      <c r="S290" s="7" t="s">
        <v>30</v>
      </c>
      <c r="T290" s="7" t="s">
        <v>48</v>
      </c>
      <c r="U290" s="7" t="s">
        <v>80</v>
      </c>
      <c r="V290" s="7" t="s">
        <v>81</v>
      </c>
      <c r="W290" s="9">
        <v>9.65</v>
      </c>
      <c r="X290" s="7">
        <v>46</v>
      </c>
      <c r="Y290" s="10">
        <v>443.90000000000003</v>
      </c>
      <c r="Z290" s="9">
        <v>45.721700000000006</v>
      </c>
    </row>
    <row r="291" spans="1:26" x14ac:dyDescent="0.35">
      <c r="A291" s="7">
        <v>1337</v>
      </c>
      <c r="B291" s="8">
        <v>41971</v>
      </c>
      <c r="C291" s="7">
        <v>28</v>
      </c>
      <c r="D291" s="7" t="s">
        <v>90</v>
      </c>
      <c r="E291" s="7" t="s">
        <v>91</v>
      </c>
      <c r="F291" s="7" t="s">
        <v>92</v>
      </c>
      <c r="G291" s="7" t="s">
        <v>93</v>
      </c>
      <c r="H291" s="7">
        <v>99999</v>
      </c>
      <c r="I291" s="7" t="s">
        <v>30</v>
      </c>
      <c r="J291" s="7" t="s">
        <v>94</v>
      </c>
      <c r="K291" s="7" t="s">
        <v>95</v>
      </c>
      <c r="L291" s="7">
        <v>41973</v>
      </c>
      <c r="M291" s="7" t="s">
        <v>62</v>
      </c>
      <c r="N291" s="7" t="s">
        <v>96</v>
      </c>
      <c r="O291" s="7" t="s">
        <v>91</v>
      </c>
      <c r="P291" s="7" t="s">
        <v>92</v>
      </c>
      <c r="Q291" s="7" t="s">
        <v>93</v>
      </c>
      <c r="R291" s="7">
        <v>99999</v>
      </c>
      <c r="S291" s="7" t="s">
        <v>30</v>
      </c>
      <c r="T291" s="7" t="s">
        <v>48</v>
      </c>
      <c r="U291" s="7" t="s">
        <v>123</v>
      </c>
      <c r="V291" s="7" t="s">
        <v>124</v>
      </c>
      <c r="W291" s="9">
        <v>18.399999999999999</v>
      </c>
      <c r="X291" s="7">
        <v>100</v>
      </c>
      <c r="Y291" s="10">
        <v>1839.9999999999998</v>
      </c>
      <c r="Z291" s="9">
        <v>184</v>
      </c>
    </row>
    <row r="292" spans="1:26" x14ac:dyDescent="0.35">
      <c r="A292" s="7">
        <v>1338</v>
      </c>
      <c r="B292" s="8">
        <v>41952</v>
      </c>
      <c r="C292" s="7">
        <v>9</v>
      </c>
      <c r="D292" s="7" t="s">
        <v>125</v>
      </c>
      <c r="E292" s="7" t="s">
        <v>126</v>
      </c>
      <c r="F292" s="7" t="s">
        <v>127</v>
      </c>
      <c r="G292" s="7" t="s">
        <v>128</v>
      </c>
      <c r="H292" s="7">
        <v>99999</v>
      </c>
      <c r="I292" s="7" t="s">
        <v>30</v>
      </c>
      <c r="J292" s="7" t="s">
        <v>129</v>
      </c>
      <c r="K292" s="7" t="s">
        <v>32</v>
      </c>
      <c r="L292" s="7">
        <v>41954</v>
      </c>
      <c r="M292" s="7" t="s">
        <v>46</v>
      </c>
      <c r="N292" s="7" t="s">
        <v>130</v>
      </c>
      <c r="O292" s="7" t="s">
        <v>126</v>
      </c>
      <c r="P292" s="7" t="s">
        <v>127</v>
      </c>
      <c r="Q292" s="7" t="s">
        <v>128</v>
      </c>
      <c r="R292" s="7">
        <v>99999</v>
      </c>
      <c r="S292" s="7" t="s">
        <v>30</v>
      </c>
      <c r="T292" s="7" t="s">
        <v>35</v>
      </c>
      <c r="U292" s="7" t="s">
        <v>131</v>
      </c>
      <c r="V292" s="7" t="s">
        <v>132</v>
      </c>
      <c r="W292" s="9">
        <v>19.5</v>
      </c>
      <c r="X292" s="7">
        <v>87</v>
      </c>
      <c r="Y292" s="10">
        <v>1696.5</v>
      </c>
      <c r="Z292" s="9">
        <v>174.73950000000002</v>
      </c>
    </row>
    <row r="293" spans="1:26" x14ac:dyDescent="0.35">
      <c r="A293" s="7">
        <v>1339</v>
      </c>
      <c r="B293" s="8">
        <v>41952</v>
      </c>
      <c r="C293" s="7">
        <v>9</v>
      </c>
      <c r="D293" s="7" t="s">
        <v>125</v>
      </c>
      <c r="E293" s="7" t="s">
        <v>126</v>
      </c>
      <c r="F293" s="7" t="s">
        <v>127</v>
      </c>
      <c r="G293" s="7" t="s">
        <v>128</v>
      </c>
      <c r="H293" s="7">
        <v>99999</v>
      </c>
      <c r="I293" s="7" t="s">
        <v>30</v>
      </c>
      <c r="J293" s="7" t="s">
        <v>129</v>
      </c>
      <c r="K293" s="7" t="s">
        <v>32</v>
      </c>
      <c r="L293" s="7">
        <v>41954</v>
      </c>
      <c r="M293" s="7" t="s">
        <v>46</v>
      </c>
      <c r="N293" s="7" t="s">
        <v>130</v>
      </c>
      <c r="O293" s="7" t="s">
        <v>126</v>
      </c>
      <c r="P293" s="7" t="s">
        <v>127</v>
      </c>
      <c r="Q293" s="7" t="s">
        <v>128</v>
      </c>
      <c r="R293" s="7">
        <v>99999</v>
      </c>
      <c r="S293" s="7" t="s">
        <v>30</v>
      </c>
      <c r="T293" s="7" t="s">
        <v>35</v>
      </c>
      <c r="U293" s="7" t="s">
        <v>133</v>
      </c>
      <c r="V293" s="7" t="s">
        <v>134</v>
      </c>
      <c r="W293" s="9">
        <v>34.799999999999997</v>
      </c>
      <c r="X293" s="7">
        <v>58</v>
      </c>
      <c r="Y293" s="10">
        <v>2018.3999999999999</v>
      </c>
      <c r="Z293" s="9">
        <v>205.8768</v>
      </c>
    </row>
    <row r="294" spans="1:26" x14ac:dyDescent="0.35">
      <c r="A294" s="7">
        <v>1340</v>
      </c>
      <c r="B294" s="8">
        <v>41949</v>
      </c>
      <c r="C294" s="7">
        <v>6</v>
      </c>
      <c r="D294" s="7" t="s">
        <v>82</v>
      </c>
      <c r="E294" s="7" t="s">
        <v>83</v>
      </c>
      <c r="F294" s="7" t="s">
        <v>84</v>
      </c>
      <c r="G294" s="7" t="s">
        <v>85</v>
      </c>
      <c r="H294" s="7">
        <v>99999</v>
      </c>
      <c r="I294" s="7" t="s">
        <v>30</v>
      </c>
      <c r="J294" s="7" t="s">
        <v>86</v>
      </c>
      <c r="K294" s="7" t="s">
        <v>61</v>
      </c>
      <c r="L294" s="7">
        <v>41951</v>
      </c>
      <c r="M294" s="7" t="s">
        <v>33</v>
      </c>
      <c r="N294" s="7" t="s">
        <v>87</v>
      </c>
      <c r="O294" s="7" t="s">
        <v>83</v>
      </c>
      <c r="P294" s="7" t="s">
        <v>84</v>
      </c>
      <c r="Q294" s="7" t="s">
        <v>85</v>
      </c>
      <c r="R294" s="7">
        <v>99999</v>
      </c>
      <c r="S294" s="7" t="s">
        <v>30</v>
      </c>
      <c r="T294" s="7" t="s">
        <v>48</v>
      </c>
      <c r="U294" s="7" t="s">
        <v>36</v>
      </c>
      <c r="V294" s="7" t="s">
        <v>37</v>
      </c>
      <c r="W294" s="9">
        <v>14</v>
      </c>
      <c r="X294" s="7">
        <v>85</v>
      </c>
      <c r="Y294" s="10">
        <v>1190</v>
      </c>
      <c r="Z294" s="9">
        <v>120.19</v>
      </c>
    </row>
    <row r="295" spans="1:26" x14ac:dyDescent="0.35">
      <c r="A295" s="7">
        <v>1341</v>
      </c>
      <c r="B295" s="8">
        <v>41951</v>
      </c>
      <c r="C295" s="7">
        <v>8</v>
      </c>
      <c r="D295" s="7" t="s">
        <v>56</v>
      </c>
      <c r="E295" s="7" t="s">
        <v>57</v>
      </c>
      <c r="F295" s="7" t="s">
        <v>58</v>
      </c>
      <c r="G295" s="7" t="s">
        <v>59</v>
      </c>
      <c r="H295" s="7">
        <v>99999</v>
      </c>
      <c r="I295" s="7" t="s">
        <v>30</v>
      </c>
      <c r="J295" s="7" t="s">
        <v>60</v>
      </c>
      <c r="K295" s="7" t="s">
        <v>61</v>
      </c>
      <c r="L295" s="7">
        <v>41953</v>
      </c>
      <c r="M295" s="7" t="s">
        <v>33</v>
      </c>
      <c r="N295" s="7" t="s">
        <v>63</v>
      </c>
      <c r="O295" s="7" t="s">
        <v>57</v>
      </c>
      <c r="P295" s="7" t="s">
        <v>58</v>
      </c>
      <c r="Q295" s="7" t="s">
        <v>59</v>
      </c>
      <c r="R295" s="7">
        <v>99999</v>
      </c>
      <c r="S295" s="7" t="s">
        <v>30</v>
      </c>
      <c r="T295" s="7" t="s">
        <v>35</v>
      </c>
      <c r="U295" s="7" t="s">
        <v>88</v>
      </c>
      <c r="V295" s="7" t="s">
        <v>89</v>
      </c>
      <c r="W295" s="9">
        <v>40</v>
      </c>
      <c r="X295" s="7">
        <v>28</v>
      </c>
      <c r="Y295" s="10">
        <v>1120</v>
      </c>
      <c r="Z295" s="9">
        <v>110.88</v>
      </c>
    </row>
    <row r="296" spans="1:26" x14ac:dyDescent="0.35">
      <c r="A296" s="7">
        <v>1342</v>
      </c>
      <c r="B296" s="8">
        <v>41951</v>
      </c>
      <c r="C296" s="7">
        <v>8</v>
      </c>
      <c r="D296" s="7" t="s">
        <v>56</v>
      </c>
      <c r="E296" s="7" t="s">
        <v>57</v>
      </c>
      <c r="F296" s="7" t="s">
        <v>58</v>
      </c>
      <c r="G296" s="7" t="s">
        <v>59</v>
      </c>
      <c r="H296" s="7">
        <v>99999</v>
      </c>
      <c r="I296" s="7" t="s">
        <v>30</v>
      </c>
      <c r="J296" s="7" t="s">
        <v>60</v>
      </c>
      <c r="K296" s="7" t="s">
        <v>61</v>
      </c>
      <c r="L296" s="8">
        <v>41953</v>
      </c>
      <c r="M296" s="7" t="s">
        <v>33</v>
      </c>
      <c r="N296" s="7" t="s">
        <v>63</v>
      </c>
      <c r="O296" s="7" t="s">
        <v>57</v>
      </c>
      <c r="P296" s="7" t="s">
        <v>58</v>
      </c>
      <c r="Q296" s="7" t="s">
        <v>59</v>
      </c>
      <c r="R296" s="7">
        <v>99999</v>
      </c>
      <c r="S296" s="7" t="s">
        <v>30</v>
      </c>
      <c r="T296" s="7" t="s">
        <v>35</v>
      </c>
      <c r="U296" s="7" t="s">
        <v>64</v>
      </c>
      <c r="V296" s="7" t="s">
        <v>65</v>
      </c>
      <c r="W296" s="9">
        <v>9.1999999999999993</v>
      </c>
      <c r="X296" s="7">
        <v>19</v>
      </c>
      <c r="Y296" s="10">
        <v>174.79999999999998</v>
      </c>
      <c r="Z296" s="9">
        <v>17.130400000000002</v>
      </c>
    </row>
    <row r="297" spans="1:26" x14ac:dyDescent="0.35">
      <c r="A297" s="7">
        <v>1343</v>
      </c>
      <c r="B297" s="8">
        <v>41968</v>
      </c>
      <c r="C297" s="7">
        <v>25</v>
      </c>
      <c r="D297" s="7" t="s">
        <v>137</v>
      </c>
      <c r="E297" s="7" t="s">
        <v>138</v>
      </c>
      <c r="F297" s="7" t="s">
        <v>99</v>
      </c>
      <c r="G297" s="7" t="s">
        <v>100</v>
      </c>
      <c r="H297" s="7">
        <v>99999</v>
      </c>
      <c r="I297" s="7" t="s">
        <v>30</v>
      </c>
      <c r="J297" s="7" t="s">
        <v>101</v>
      </c>
      <c r="K297" s="7" t="s">
        <v>45</v>
      </c>
      <c r="L297" s="8">
        <v>41970</v>
      </c>
      <c r="M297" s="7" t="s">
        <v>46</v>
      </c>
      <c r="N297" s="7" t="s">
        <v>139</v>
      </c>
      <c r="O297" s="7" t="s">
        <v>138</v>
      </c>
      <c r="P297" s="7" t="s">
        <v>99</v>
      </c>
      <c r="Q297" s="7" t="s">
        <v>100</v>
      </c>
      <c r="R297" s="7">
        <v>99999</v>
      </c>
      <c r="S297" s="7" t="s">
        <v>30</v>
      </c>
      <c r="T297" s="7" t="s">
        <v>79</v>
      </c>
      <c r="U297" s="7" t="s">
        <v>146</v>
      </c>
      <c r="V297" s="7" t="s">
        <v>65</v>
      </c>
      <c r="W297" s="9">
        <v>10</v>
      </c>
      <c r="X297" s="7">
        <v>99</v>
      </c>
      <c r="Y297" s="10">
        <v>990</v>
      </c>
      <c r="Z297" s="9">
        <v>102.96000000000001</v>
      </c>
    </row>
    <row r="298" spans="1:26" x14ac:dyDescent="0.35">
      <c r="A298" s="7">
        <v>1344</v>
      </c>
      <c r="B298" s="8">
        <v>41969</v>
      </c>
      <c r="C298" s="7">
        <v>26</v>
      </c>
      <c r="D298" s="7" t="s">
        <v>140</v>
      </c>
      <c r="E298" s="7" t="s">
        <v>141</v>
      </c>
      <c r="F298" s="7" t="s">
        <v>115</v>
      </c>
      <c r="G298" s="7" t="s">
        <v>116</v>
      </c>
      <c r="H298" s="7">
        <v>99999</v>
      </c>
      <c r="I298" s="7" t="s">
        <v>30</v>
      </c>
      <c r="J298" s="7" t="s">
        <v>94</v>
      </c>
      <c r="K298" s="7" t="s">
        <v>95</v>
      </c>
      <c r="L298" s="8">
        <v>41971</v>
      </c>
      <c r="M298" s="7" t="s">
        <v>62</v>
      </c>
      <c r="N298" s="7" t="s">
        <v>142</v>
      </c>
      <c r="O298" s="7" t="s">
        <v>141</v>
      </c>
      <c r="P298" s="7" t="s">
        <v>115</v>
      </c>
      <c r="Q298" s="7" t="s">
        <v>116</v>
      </c>
      <c r="R298" s="7">
        <v>99999</v>
      </c>
      <c r="S298" s="7" t="s">
        <v>30</v>
      </c>
      <c r="T298" s="7" t="s">
        <v>48</v>
      </c>
      <c r="U298" s="7" t="s">
        <v>147</v>
      </c>
      <c r="V298" s="7" t="s">
        <v>148</v>
      </c>
      <c r="W298" s="9">
        <v>21.35</v>
      </c>
      <c r="X298" s="7">
        <v>69</v>
      </c>
      <c r="Y298" s="10">
        <v>1473.15</v>
      </c>
      <c r="Z298" s="9">
        <v>153.20760000000004</v>
      </c>
    </row>
    <row r="299" spans="1:26" x14ac:dyDescent="0.35">
      <c r="A299" s="7">
        <v>1345</v>
      </c>
      <c r="B299" s="8">
        <v>41969</v>
      </c>
      <c r="C299" s="7">
        <v>26</v>
      </c>
      <c r="D299" s="7" t="s">
        <v>140</v>
      </c>
      <c r="E299" s="7" t="s">
        <v>141</v>
      </c>
      <c r="F299" s="7" t="s">
        <v>115</v>
      </c>
      <c r="G299" s="7" t="s">
        <v>116</v>
      </c>
      <c r="H299" s="7">
        <v>99999</v>
      </c>
      <c r="I299" s="7" t="s">
        <v>30</v>
      </c>
      <c r="J299" s="7" t="s">
        <v>94</v>
      </c>
      <c r="K299" s="7" t="s">
        <v>95</v>
      </c>
      <c r="L299" s="8">
        <v>41971</v>
      </c>
      <c r="M299" s="7" t="s">
        <v>62</v>
      </c>
      <c r="N299" s="7" t="s">
        <v>142</v>
      </c>
      <c r="O299" s="7" t="s">
        <v>141</v>
      </c>
      <c r="P299" s="7" t="s">
        <v>115</v>
      </c>
      <c r="Q299" s="7" t="s">
        <v>116</v>
      </c>
      <c r="R299" s="7">
        <v>99999</v>
      </c>
      <c r="S299" s="7" t="s">
        <v>30</v>
      </c>
      <c r="T299" s="7" t="s">
        <v>48</v>
      </c>
      <c r="U299" s="7" t="s">
        <v>80</v>
      </c>
      <c r="V299" s="7" t="s">
        <v>81</v>
      </c>
      <c r="W299" s="9">
        <v>9.65</v>
      </c>
      <c r="X299" s="7">
        <v>37</v>
      </c>
      <c r="Y299" s="10">
        <v>357.05</v>
      </c>
      <c r="Z299" s="9">
        <v>33.919750000000001</v>
      </c>
    </row>
    <row r="300" spans="1:26" x14ac:dyDescent="0.35">
      <c r="A300" s="7">
        <v>1346</v>
      </c>
      <c r="B300" s="8">
        <v>41969</v>
      </c>
      <c r="C300" s="7">
        <v>26</v>
      </c>
      <c r="D300" s="7" t="s">
        <v>140</v>
      </c>
      <c r="E300" s="7" t="s">
        <v>141</v>
      </c>
      <c r="F300" s="7" t="s">
        <v>115</v>
      </c>
      <c r="G300" s="7" t="s">
        <v>116</v>
      </c>
      <c r="H300" s="7">
        <v>99999</v>
      </c>
      <c r="I300" s="7" t="s">
        <v>30</v>
      </c>
      <c r="J300" s="7" t="s">
        <v>94</v>
      </c>
      <c r="K300" s="7" t="s">
        <v>95</v>
      </c>
      <c r="L300" s="8">
        <v>41971</v>
      </c>
      <c r="M300" s="7" t="s">
        <v>62</v>
      </c>
      <c r="N300" s="7" t="s">
        <v>142</v>
      </c>
      <c r="O300" s="7" t="s">
        <v>141</v>
      </c>
      <c r="P300" s="7" t="s">
        <v>115</v>
      </c>
      <c r="Q300" s="7" t="s">
        <v>116</v>
      </c>
      <c r="R300" s="7">
        <v>99999</v>
      </c>
      <c r="S300" s="7" t="s">
        <v>30</v>
      </c>
      <c r="T300" s="7" t="s">
        <v>48</v>
      </c>
      <c r="U300" s="7" t="s">
        <v>123</v>
      </c>
      <c r="V300" s="7" t="s">
        <v>124</v>
      </c>
      <c r="W300" s="9">
        <v>18.399999999999999</v>
      </c>
      <c r="X300" s="7">
        <v>64</v>
      </c>
      <c r="Y300" s="10">
        <v>1177.5999999999999</v>
      </c>
      <c r="Z300" s="9">
        <v>118.93759999999999</v>
      </c>
    </row>
    <row r="301" spans="1:26" x14ac:dyDescent="0.35">
      <c r="A301" s="7">
        <v>1347</v>
      </c>
      <c r="B301" s="8">
        <v>41972</v>
      </c>
      <c r="C301" s="7">
        <v>29</v>
      </c>
      <c r="D301" s="7" t="s">
        <v>66</v>
      </c>
      <c r="E301" s="7" t="s">
        <v>67</v>
      </c>
      <c r="F301" s="7" t="s">
        <v>68</v>
      </c>
      <c r="G301" s="7" t="s">
        <v>69</v>
      </c>
      <c r="H301" s="7">
        <v>99999</v>
      </c>
      <c r="I301" s="7" t="s">
        <v>30</v>
      </c>
      <c r="J301" s="7" t="s">
        <v>70</v>
      </c>
      <c r="K301" s="7" t="s">
        <v>32</v>
      </c>
      <c r="L301" s="8">
        <v>41974</v>
      </c>
      <c r="M301" s="7" t="s">
        <v>33</v>
      </c>
      <c r="N301" s="7" t="s">
        <v>71</v>
      </c>
      <c r="O301" s="7" t="s">
        <v>67</v>
      </c>
      <c r="P301" s="7" t="s">
        <v>68</v>
      </c>
      <c r="Q301" s="7" t="s">
        <v>69</v>
      </c>
      <c r="R301" s="7">
        <v>99999</v>
      </c>
      <c r="S301" s="7" t="s">
        <v>30</v>
      </c>
      <c r="T301" s="7" t="s">
        <v>35</v>
      </c>
      <c r="U301" s="7" t="s">
        <v>36</v>
      </c>
      <c r="V301" s="7" t="s">
        <v>37</v>
      </c>
      <c r="W301" s="9">
        <v>14</v>
      </c>
      <c r="X301" s="7">
        <v>38</v>
      </c>
      <c r="Y301" s="10">
        <v>532</v>
      </c>
      <c r="Z301" s="9">
        <v>55.328000000000003</v>
      </c>
    </row>
    <row r="302" spans="1:26" x14ac:dyDescent="0.35">
      <c r="A302" s="7">
        <v>1348</v>
      </c>
      <c r="B302" s="8">
        <v>41949</v>
      </c>
      <c r="C302" s="7">
        <v>6</v>
      </c>
      <c r="D302" s="7" t="s">
        <v>82</v>
      </c>
      <c r="E302" s="7" t="s">
        <v>83</v>
      </c>
      <c r="F302" s="7" t="s">
        <v>84</v>
      </c>
      <c r="G302" s="7" t="s">
        <v>85</v>
      </c>
      <c r="H302" s="7">
        <v>99999</v>
      </c>
      <c r="I302" s="7" t="s">
        <v>30</v>
      </c>
      <c r="J302" s="7" t="s">
        <v>86</v>
      </c>
      <c r="K302" s="7" t="s">
        <v>61</v>
      </c>
      <c r="L302" s="8">
        <v>41951</v>
      </c>
      <c r="M302" s="7" t="s">
        <v>62</v>
      </c>
      <c r="N302" s="7" t="s">
        <v>87</v>
      </c>
      <c r="O302" s="7" t="s">
        <v>83</v>
      </c>
      <c r="P302" s="7" t="s">
        <v>84</v>
      </c>
      <c r="Q302" s="7" t="s">
        <v>85</v>
      </c>
      <c r="R302" s="7">
        <v>99999</v>
      </c>
      <c r="S302" s="7" t="s">
        <v>30</v>
      </c>
      <c r="T302" s="7" t="s">
        <v>35</v>
      </c>
      <c r="U302" s="7" t="s">
        <v>72</v>
      </c>
      <c r="V302" s="7" t="s">
        <v>73</v>
      </c>
      <c r="W302" s="9">
        <v>12.75</v>
      </c>
      <c r="X302" s="7">
        <v>15</v>
      </c>
      <c r="Y302" s="10">
        <v>191.25</v>
      </c>
      <c r="Z302" s="9">
        <v>18.55125</v>
      </c>
    </row>
    <row r="303" spans="1:26" x14ac:dyDescent="0.35">
      <c r="A303" s="7">
        <v>1350</v>
      </c>
      <c r="B303" s="8">
        <v>41947</v>
      </c>
      <c r="C303" s="7">
        <v>4</v>
      </c>
      <c r="D303" s="7" t="s">
        <v>40</v>
      </c>
      <c r="E303" s="7" t="s">
        <v>41</v>
      </c>
      <c r="F303" s="7" t="s">
        <v>42</v>
      </c>
      <c r="G303" s="7" t="s">
        <v>43</v>
      </c>
      <c r="H303" s="7">
        <v>99999</v>
      </c>
      <c r="I303" s="7" t="s">
        <v>30</v>
      </c>
      <c r="J303" s="7" t="s">
        <v>44</v>
      </c>
      <c r="K303" s="7" t="s">
        <v>45</v>
      </c>
      <c r="L303" s="8">
        <v>41949</v>
      </c>
      <c r="M303" s="7" t="s">
        <v>46</v>
      </c>
      <c r="N303" s="7" t="s">
        <v>47</v>
      </c>
      <c r="O303" s="7" t="s">
        <v>41</v>
      </c>
      <c r="P303" s="7" t="s">
        <v>42</v>
      </c>
      <c r="Q303" s="7" t="s">
        <v>43</v>
      </c>
      <c r="R303" s="7">
        <v>99999</v>
      </c>
      <c r="S303" s="7" t="s">
        <v>30</v>
      </c>
      <c r="T303" s="7" t="s">
        <v>48</v>
      </c>
      <c r="U303" s="7" t="s">
        <v>149</v>
      </c>
      <c r="V303" s="7" t="s">
        <v>110</v>
      </c>
      <c r="W303" s="9">
        <v>81</v>
      </c>
      <c r="X303" s="7">
        <v>52</v>
      </c>
      <c r="Y303" s="10">
        <v>4212</v>
      </c>
      <c r="Z303" s="9">
        <v>412.77600000000001</v>
      </c>
    </row>
    <row r="304" spans="1:26" x14ac:dyDescent="0.35">
      <c r="A304" s="7">
        <v>1351</v>
      </c>
      <c r="B304" s="8">
        <v>41947</v>
      </c>
      <c r="C304" s="7">
        <v>4</v>
      </c>
      <c r="D304" s="7" t="s">
        <v>40</v>
      </c>
      <c r="E304" s="7" t="s">
        <v>41</v>
      </c>
      <c r="F304" s="7" t="s">
        <v>42</v>
      </c>
      <c r="G304" s="7" t="s">
        <v>43</v>
      </c>
      <c r="H304" s="7">
        <v>99999</v>
      </c>
      <c r="I304" s="7" t="s">
        <v>30</v>
      </c>
      <c r="J304" s="7" t="s">
        <v>44</v>
      </c>
      <c r="K304" s="7" t="s">
        <v>45</v>
      </c>
      <c r="L304" s="8">
        <v>41949</v>
      </c>
      <c r="M304" s="7" t="s">
        <v>46</v>
      </c>
      <c r="N304" s="7" t="s">
        <v>47</v>
      </c>
      <c r="O304" s="7" t="s">
        <v>41</v>
      </c>
      <c r="P304" s="7" t="s">
        <v>42</v>
      </c>
      <c r="Q304" s="7" t="s">
        <v>43</v>
      </c>
      <c r="R304" s="7">
        <v>99999</v>
      </c>
      <c r="S304" s="7" t="s">
        <v>30</v>
      </c>
      <c r="T304" s="7" t="s">
        <v>48</v>
      </c>
      <c r="U304" s="7" t="s">
        <v>150</v>
      </c>
      <c r="V304" s="7" t="s">
        <v>151</v>
      </c>
      <c r="W304" s="9">
        <v>7</v>
      </c>
      <c r="X304" s="7">
        <v>37</v>
      </c>
      <c r="Y304" s="10">
        <v>259</v>
      </c>
      <c r="Z304" s="9">
        <v>25.382000000000001</v>
      </c>
    </row>
    <row r="305" spans="1:26" x14ac:dyDescent="0.35">
      <c r="A305" s="7">
        <v>1353</v>
      </c>
      <c r="B305" s="8">
        <v>41951</v>
      </c>
      <c r="C305" s="7">
        <v>8</v>
      </c>
      <c r="D305" s="7" t="s">
        <v>56</v>
      </c>
      <c r="E305" s="7" t="s">
        <v>57</v>
      </c>
      <c r="F305" s="7" t="s">
        <v>58</v>
      </c>
      <c r="G305" s="7" t="s">
        <v>59</v>
      </c>
      <c r="H305" s="7">
        <v>99999</v>
      </c>
      <c r="I305" s="7" t="s">
        <v>30</v>
      </c>
      <c r="J305" s="7" t="s">
        <v>60</v>
      </c>
      <c r="K305" s="7" t="s">
        <v>61</v>
      </c>
      <c r="L305" s="8">
        <v>41953</v>
      </c>
      <c r="M305" s="7" t="s">
        <v>62</v>
      </c>
      <c r="N305" s="7" t="s">
        <v>63</v>
      </c>
      <c r="O305" s="7" t="s">
        <v>57</v>
      </c>
      <c r="P305" s="7" t="s">
        <v>58</v>
      </c>
      <c r="Q305" s="7" t="s">
        <v>59</v>
      </c>
      <c r="R305" s="7">
        <v>99999</v>
      </c>
      <c r="S305" s="7" t="s">
        <v>30</v>
      </c>
      <c r="T305" s="7" t="s">
        <v>48</v>
      </c>
      <c r="U305" s="7" t="s">
        <v>133</v>
      </c>
      <c r="V305" s="7" t="s">
        <v>134</v>
      </c>
      <c r="W305" s="9">
        <v>34.799999999999997</v>
      </c>
      <c r="X305" s="7">
        <v>24</v>
      </c>
      <c r="Y305" s="10">
        <v>835.19999999999993</v>
      </c>
      <c r="Z305" s="9">
        <v>80.179199999999994</v>
      </c>
    </row>
    <row r="306" spans="1:26" x14ac:dyDescent="0.35">
      <c r="A306" s="7">
        <v>1356</v>
      </c>
      <c r="B306" s="8">
        <v>41946</v>
      </c>
      <c r="C306" s="7">
        <v>3</v>
      </c>
      <c r="D306" s="7" t="s">
        <v>74</v>
      </c>
      <c r="E306" s="7" t="s">
        <v>75</v>
      </c>
      <c r="F306" s="7" t="s">
        <v>76</v>
      </c>
      <c r="G306" s="7" t="s">
        <v>77</v>
      </c>
      <c r="H306" s="7">
        <v>99999</v>
      </c>
      <c r="I306" s="7" t="s">
        <v>30</v>
      </c>
      <c r="J306" s="7" t="s">
        <v>31</v>
      </c>
      <c r="K306" s="7" t="s">
        <v>32</v>
      </c>
      <c r="L306" s="8">
        <v>41948</v>
      </c>
      <c r="M306" s="7" t="s">
        <v>33</v>
      </c>
      <c r="N306" s="7" t="s">
        <v>78</v>
      </c>
      <c r="O306" s="7" t="s">
        <v>75</v>
      </c>
      <c r="P306" s="7" t="s">
        <v>76</v>
      </c>
      <c r="Q306" s="7" t="s">
        <v>77</v>
      </c>
      <c r="R306" s="7">
        <v>99999</v>
      </c>
      <c r="S306" s="7" t="s">
        <v>30</v>
      </c>
      <c r="T306" s="7" t="s">
        <v>79</v>
      </c>
      <c r="U306" s="7" t="s">
        <v>135</v>
      </c>
      <c r="V306" s="7" t="s">
        <v>112</v>
      </c>
      <c r="W306" s="9">
        <v>10</v>
      </c>
      <c r="X306" s="7">
        <v>36</v>
      </c>
      <c r="Y306" s="10">
        <v>360</v>
      </c>
      <c r="Z306" s="9">
        <v>37.08</v>
      </c>
    </row>
    <row r="307" spans="1:26" x14ac:dyDescent="0.35">
      <c r="A307" s="7">
        <v>1357</v>
      </c>
      <c r="B307" s="8">
        <v>41946</v>
      </c>
      <c r="C307" s="7">
        <v>3</v>
      </c>
      <c r="D307" s="7" t="s">
        <v>74</v>
      </c>
      <c r="E307" s="7" t="s">
        <v>75</v>
      </c>
      <c r="F307" s="7" t="s">
        <v>76</v>
      </c>
      <c r="G307" s="7" t="s">
        <v>77</v>
      </c>
      <c r="H307" s="7">
        <v>99999</v>
      </c>
      <c r="I307" s="7" t="s">
        <v>30</v>
      </c>
      <c r="J307" s="7" t="s">
        <v>31</v>
      </c>
      <c r="K307" s="7" t="s">
        <v>32</v>
      </c>
      <c r="L307" s="8">
        <v>41948</v>
      </c>
      <c r="M307" s="7" t="s">
        <v>33</v>
      </c>
      <c r="N307" s="7" t="s">
        <v>78</v>
      </c>
      <c r="O307" s="7" t="s">
        <v>75</v>
      </c>
      <c r="P307" s="7" t="s">
        <v>76</v>
      </c>
      <c r="Q307" s="7" t="s">
        <v>77</v>
      </c>
      <c r="R307" s="7">
        <v>99999</v>
      </c>
      <c r="S307" s="7" t="s">
        <v>30</v>
      </c>
      <c r="T307" s="7" t="s">
        <v>79</v>
      </c>
      <c r="U307" s="7" t="s">
        <v>88</v>
      </c>
      <c r="V307" s="7" t="s">
        <v>89</v>
      </c>
      <c r="W307" s="9">
        <v>40</v>
      </c>
      <c r="X307" s="7">
        <v>24</v>
      </c>
      <c r="Y307" s="10">
        <v>960</v>
      </c>
      <c r="Z307" s="9">
        <v>96</v>
      </c>
    </row>
    <row r="308" spans="1:26" x14ac:dyDescent="0.35">
      <c r="A308" s="7">
        <v>1361</v>
      </c>
      <c r="B308" s="8">
        <v>41953</v>
      </c>
      <c r="C308" s="7">
        <v>10</v>
      </c>
      <c r="D308" s="7" t="s">
        <v>97</v>
      </c>
      <c r="E308" s="7" t="s">
        <v>98</v>
      </c>
      <c r="F308" s="7" t="s">
        <v>99</v>
      </c>
      <c r="G308" s="7" t="s">
        <v>100</v>
      </c>
      <c r="H308" s="7">
        <v>99999</v>
      </c>
      <c r="I308" s="7" t="s">
        <v>30</v>
      </c>
      <c r="J308" s="7" t="s">
        <v>101</v>
      </c>
      <c r="K308" s="7" t="s">
        <v>45</v>
      </c>
      <c r="L308" s="8">
        <v>41955</v>
      </c>
      <c r="M308" s="7" t="s">
        <v>33</v>
      </c>
      <c r="N308" s="7" t="s">
        <v>102</v>
      </c>
      <c r="O308" s="7" t="s">
        <v>98</v>
      </c>
      <c r="P308" s="7" t="s">
        <v>99</v>
      </c>
      <c r="Q308" s="7" t="s">
        <v>100</v>
      </c>
      <c r="R308" s="7">
        <v>99999</v>
      </c>
      <c r="S308" s="7" t="s">
        <v>30</v>
      </c>
      <c r="T308" s="7" t="s">
        <v>48</v>
      </c>
      <c r="U308" s="7" t="s">
        <v>136</v>
      </c>
      <c r="V308" s="7" t="s">
        <v>39</v>
      </c>
      <c r="W308" s="9">
        <v>10</v>
      </c>
      <c r="X308" s="7">
        <v>20</v>
      </c>
      <c r="Y308" s="10">
        <v>200</v>
      </c>
      <c r="Z308" s="9">
        <v>20</v>
      </c>
    </row>
    <row r="309" spans="1:26" x14ac:dyDescent="0.35">
      <c r="A309" s="7">
        <v>1363</v>
      </c>
      <c r="B309" s="8">
        <v>41953</v>
      </c>
      <c r="C309" s="7">
        <v>10</v>
      </c>
      <c r="D309" s="7" t="s">
        <v>97</v>
      </c>
      <c r="E309" s="7" t="s">
        <v>98</v>
      </c>
      <c r="F309" s="7" t="s">
        <v>99</v>
      </c>
      <c r="G309" s="7" t="s">
        <v>100</v>
      </c>
      <c r="H309" s="7">
        <v>99999</v>
      </c>
      <c r="I309" s="7" t="s">
        <v>30</v>
      </c>
      <c r="J309" s="7" t="s">
        <v>101</v>
      </c>
      <c r="K309" s="7" t="s">
        <v>45</v>
      </c>
      <c r="L309" s="8"/>
      <c r="M309" s="7" t="s">
        <v>46</v>
      </c>
      <c r="N309" s="7" t="s">
        <v>102</v>
      </c>
      <c r="O309" s="7" t="s">
        <v>98</v>
      </c>
      <c r="P309" s="7" t="s">
        <v>99</v>
      </c>
      <c r="Q309" s="7" t="s">
        <v>100</v>
      </c>
      <c r="R309" s="7">
        <v>99999</v>
      </c>
      <c r="S309" s="7" t="s">
        <v>30</v>
      </c>
      <c r="U309" s="7" t="s">
        <v>38</v>
      </c>
      <c r="V309" s="7" t="s">
        <v>39</v>
      </c>
      <c r="W309" s="7">
        <v>3.5</v>
      </c>
      <c r="X309" s="7">
        <v>11</v>
      </c>
      <c r="Y309" s="10">
        <v>38.5</v>
      </c>
      <c r="Z309" s="9">
        <v>3.7345000000000002</v>
      </c>
    </row>
    <row r="310" spans="1:26" x14ac:dyDescent="0.35">
      <c r="A310" s="7">
        <v>1364</v>
      </c>
      <c r="B310" s="8">
        <v>41954</v>
      </c>
      <c r="C310" s="7">
        <v>11</v>
      </c>
      <c r="D310" s="7" t="s">
        <v>113</v>
      </c>
      <c r="E310" s="7" t="s">
        <v>114</v>
      </c>
      <c r="F310" s="7" t="s">
        <v>115</v>
      </c>
      <c r="G310" s="7" t="s">
        <v>116</v>
      </c>
      <c r="H310" s="7">
        <v>99999</v>
      </c>
      <c r="I310" s="7" t="s">
        <v>30</v>
      </c>
      <c r="J310" s="7" t="s">
        <v>94</v>
      </c>
      <c r="K310" s="7" t="s">
        <v>95</v>
      </c>
      <c r="L310" s="8"/>
      <c r="M310" s="7" t="s">
        <v>62</v>
      </c>
      <c r="N310" s="7" t="s">
        <v>117</v>
      </c>
      <c r="O310" s="7" t="s">
        <v>114</v>
      </c>
      <c r="P310" s="7" t="s">
        <v>115</v>
      </c>
      <c r="Q310" s="7" t="s">
        <v>116</v>
      </c>
      <c r="R310" s="7">
        <v>99999</v>
      </c>
      <c r="S310" s="7" t="s">
        <v>30</v>
      </c>
      <c r="U310" s="7" t="s">
        <v>88</v>
      </c>
      <c r="V310" s="7" t="s">
        <v>89</v>
      </c>
      <c r="W310" s="7">
        <v>40</v>
      </c>
      <c r="X310" s="7">
        <v>78</v>
      </c>
      <c r="Y310" s="10">
        <v>3120</v>
      </c>
      <c r="Z310" s="9">
        <v>299.52</v>
      </c>
    </row>
    <row r="311" spans="1:26" x14ac:dyDescent="0.35">
      <c r="A311" s="7">
        <v>1365</v>
      </c>
      <c r="B311" s="8">
        <v>41944</v>
      </c>
      <c r="C311" s="7">
        <v>1</v>
      </c>
      <c r="D311" s="7" t="s">
        <v>118</v>
      </c>
      <c r="E311" s="7" t="s">
        <v>119</v>
      </c>
      <c r="F311" s="7" t="s">
        <v>120</v>
      </c>
      <c r="G311" s="7" t="s">
        <v>121</v>
      </c>
      <c r="H311" s="7">
        <v>99999</v>
      </c>
      <c r="I311" s="7" t="s">
        <v>30</v>
      </c>
      <c r="J311" s="7" t="s">
        <v>60</v>
      </c>
      <c r="K311" s="7" t="s">
        <v>61</v>
      </c>
      <c r="L311" s="8"/>
      <c r="M311" s="7" t="s">
        <v>62</v>
      </c>
      <c r="N311" s="7" t="s">
        <v>122</v>
      </c>
      <c r="O311" s="7" t="s">
        <v>119</v>
      </c>
      <c r="P311" s="7" t="s">
        <v>120</v>
      </c>
      <c r="Q311" s="7" t="s">
        <v>121</v>
      </c>
      <c r="R311" s="7">
        <v>99999</v>
      </c>
      <c r="S311" s="7" t="s">
        <v>30</v>
      </c>
      <c r="U311" s="7" t="s">
        <v>123</v>
      </c>
      <c r="V311" s="7" t="s">
        <v>124</v>
      </c>
      <c r="W311" s="7">
        <v>18.399999999999999</v>
      </c>
      <c r="X311" s="7">
        <v>76</v>
      </c>
      <c r="Y311" s="10">
        <v>1398.3999999999999</v>
      </c>
      <c r="Z311" s="9">
        <v>144.0352</v>
      </c>
    </row>
    <row r="312" spans="1:26" x14ac:dyDescent="0.35">
      <c r="A312" s="7">
        <v>1366</v>
      </c>
      <c r="B312" s="8">
        <v>41971</v>
      </c>
      <c r="C312" s="7">
        <v>28</v>
      </c>
      <c r="D312" s="7" t="s">
        <v>90</v>
      </c>
      <c r="E312" s="7" t="s">
        <v>91</v>
      </c>
      <c r="F312" s="7" t="s">
        <v>92</v>
      </c>
      <c r="G312" s="7" t="s">
        <v>93</v>
      </c>
      <c r="H312" s="7">
        <v>99999</v>
      </c>
      <c r="I312" s="7" t="s">
        <v>30</v>
      </c>
      <c r="J312" s="7" t="s">
        <v>94</v>
      </c>
      <c r="K312" s="7" t="s">
        <v>95</v>
      </c>
      <c r="L312" s="8">
        <v>41973</v>
      </c>
      <c r="M312" s="7" t="s">
        <v>62</v>
      </c>
      <c r="N312" s="7" t="s">
        <v>96</v>
      </c>
      <c r="O312" s="7" t="s">
        <v>91</v>
      </c>
      <c r="P312" s="7" t="s">
        <v>92</v>
      </c>
      <c r="Q312" s="7" t="s">
        <v>93</v>
      </c>
      <c r="R312" s="7">
        <v>99999</v>
      </c>
      <c r="S312" s="7" t="s">
        <v>30</v>
      </c>
      <c r="T312" s="7" t="s">
        <v>48</v>
      </c>
      <c r="U312" s="7" t="s">
        <v>55</v>
      </c>
      <c r="V312" s="7" t="s">
        <v>37</v>
      </c>
      <c r="W312" s="7">
        <v>46</v>
      </c>
      <c r="X312" s="7">
        <v>57</v>
      </c>
      <c r="Y312" s="10">
        <v>2622</v>
      </c>
      <c r="Z312" s="9">
        <v>272.68799999999999</v>
      </c>
    </row>
    <row r="313" spans="1:26" x14ac:dyDescent="0.35">
      <c r="A313" s="7">
        <v>1367</v>
      </c>
      <c r="B313" s="8">
        <v>41952</v>
      </c>
      <c r="C313" s="7">
        <v>9</v>
      </c>
      <c r="D313" s="7" t="s">
        <v>125</v>
      </c>
      <c r="E313" s="7" t="s">
        <v>126</v>
      </c>
      <c r="F313" s="7" t="s">
        <v>127</v>
      </c>
      <c r="G313" s="7" t="s">
        <v>128</v>
      </c>
      <c r="H313" s="7">
        <v>99999</v>
      </c>
      <c r="I313" s="7" t="s">
        <v>30</v>
      </c>
      <c r="J313" s="7" t="s">
        <v>129</v>
      </c>
      <c r="K313" s="7" t="s">
        <v>32</v>
      </c>
      <c r="L313" s="8">
        <v>41954</v>
      </c>
      <c r="M313" s="7" t="s">
        <v>46</v>
      </c>
      <c r="N313" s="7" t="s">
        <v>130</v>
      </c>
      <c r="O313" s="7" t="s">
        <v>126</v>
      </c>
      <c r="P313" s="7" t="s">
        <v>127</v>
      </c>
      <c r="Q313" s="7" t="s">
        <v>128</v>
      </c>
      <c r="R313" s="7">
        <v>99999</v>
      </c>
      <c r="S313" s="7" t="s">
        <v>30</v>
      </c>
      <c r="T313" s="7" t="s">
        <v>35</v>
      </c>
      <c r="U313" s="7" t="s">
        <v>80</v>
      </c>
      <c r="V313" s="7" t="s">
        <v>81</v>
      </c>
      <c r="W313" s="7">
        <v>9.65</v>
      </c>
      <c r="X313" s="7">
        <v>14</v>
      </c>
      <c r="Y313" s="10">
        <v>135.1</v>
      </c>
      <c r="Z313" s="9">
        <v>12.9696</v>
      </c>
    </row>
    <row r="314" spans="1:26" x14ac:dyDescent="0.35">
      <c r="A314" s="7">
        <v>1368</v>
      </c>
      <c r="B314" s="8">
        <v>42000</v>
      </c>
      <c r="C314" s="7">
        <v>27</v>
      </c>
      <c r="D314" s="7" t="s">
        <v>26</v>
      </c>
      <c r="E314" s="7" t="s">
        <v>27</v>
      </c>
      <c r="F314" s="7" t="s">
        <v>28</v>
      </c>
      <c r="G314" s="7" t="s">
        <v>29</v>
      </c>
      <c r="H314" s="7">
        <v>99999</v>
      </c>
      <c r="I314" s="7" t="s">
        <v>30</v>
      </c>
      <c r="J314" s="7" t="s">
        <v>31</v>
      </c>
      <c r="K314" s="7" t="s">
        <v>32</v>
      </c>
      <c r="L314" s="8">
        <v>42002</v>
      </c>
      <c r="M314" s="7" t="s">
        <v>33</v>
      </c>
      <c r="N314" s="7" t="s">
        <v>34</v>
      </c>
      <c r="O314" s="7" t="s">
        <v>27</v>
      </c>
      <c r="P314" s="7" t="s">
        <v>28</v>
      </c>
      <c r="Q314" s="7" t="s">
        <v>29</v>
      </c>
      <c r="R314" s="7">
        <v>99999</v>
      </c>
      <c r="S314" s="7" t="s">
        <v>30</v>
      </c>
      <c r="T314" s="7" t="s">
        <v>35</v>
      </c>
      <c r="U314" s="7" t="s">
        <v>36</v>
      </c>
      <c r="V314" s="7" t="s">
        <v>37</v>
      </c>
      <c r="W314" s="7">
        <v>14</v>
      </c>
      <c r="X314" s="7">
        <v>14</v>
      </c>
      <c r="Y314" s="10">
        <v>196</v>
      </c>
      <c r="Z314" s="9">
        <v>19.796000000000003</v>
      </c>
    </row>
    <row r="315" spans="1:26" x14ac:dyDescent="0.35">
      <c r="A315" s="7">
        <v>1369</v>
      </c>
      <c r="B315" s="8">
        <v>42000</v>
      </c>
      <c r="C315" s="7">
        <v>27</v>
      </c>
      <c r="D315" s="7" t="s">
        <v>26</v>
      </c>
      <c r="E315" s="7" t="s">
        <v>27</v>
      </c>
      <c r="F315" s="7" t="s">
        <v>28</v>
      </c>
      <c r="G315" s="7" t="s">
        <v>29</v>
      </c>
      <c r="H315" s="7">
        <v>99999</v>
      </c>
      <c r="I315" s="7" t="s">
        <v>30</v>
      </c>
      <c r="J315" s="7" t="s">
        <v>31</v>
      </c>
      <c r="K315" s="7" t="s">
        <v>32</v>
      </c>
      <c r="L315" s="8">
        <v>42002</v>
      </c>
      <c r="M315" s="7" t="s">
        <v>33</v>
      </c>
      <c r="N315" s="7" t="s">
        <v>34</v>
      </c>
      <c r="O315" s="7" t="s">
        <v>27</v>
      </c>
      <c r="P315" s="7" t="s">
        <v>28</v>
      </c>
      <c r="Q315" s="7" t="s">
        <v>29</v>
      </c>
      <c r="R315" s="7">
        <v>99999</v>
      </c>
      <c r="S315" s="7" t="s">
        <v>30</v>
      </c>
      <c r="T315" s="7" t="s">
        <v>35</v>
      </c>
      <c r="U315" s="7" t="s">
        <v>38</v>
      </c>
      <c r="V315" s="7" t="s">
        <v>39</v>
      </c>
      <c r="W315" s="7">
        <v>3.5</v>
      </c>
      <c r="X315" s="7">
        <v>70</v>
      </c>
      <c r="Y315" s="10">
        <v>245</v>
      </c>
      <c r="Z315" s="9">
        <v>25.234999999999999</v>
      </c>
    </row>
    <row r="316" spans="1:26" x14ac:dyDescent="0.35">
      <c r="A316" s="7">
        <v>1370</v>
      </c>
      <c r="B316" s="8">
        <v>41977</v>
      </c>
      <c r="C316" s="7">
        <v>4</v>
      </c>
      <c r="D316" s="7" t="s">
        <v>40</v>
      </c>
      <c r="E316" s="7" t="s">
        <v>41</v>
      </c>
      <c r="F316" s="7" t="s">
        <v>42</v>
      </c>
      <c r="G316" s="7" t="s">
        <v>43</v>
      </c>
      <c r="H316" s="7">
        <v>99999</v>
      </c>
      <c r="I316" s="7" t="s">
        <v>30</v>
      </c>
      <c r="J316" s="7" t="s">
        <v>44</v>
      </c>
      <c r="K316" s="7" t="s">
        <v>45</v>
      </c>
      <c r="L316" s="8">
        <v>41979</v>
      </c>
      <c r="M316" s="7" t="s">
        <v>46</v>
      </c>
      <c r="N316" s="7" t="s">
        <v>47</v>
      </c>
      <c r="O316" s="7" t="s">
        <v>41</v>
      </c>
      <c r="P316" s="7" t="s">
        <v>42</v>
      </c>
      <c r="Q316" s="7" t="s">
        <v>43</v>
      </c>
      <c r="R316" s="7">
        <v>99999</v>
      </c>
      <c r="S316" s="7" t="s">
        <v>30</v>
      </c>
      <c r="T316" s="7" t="s">
        <v>48</v>
      </c>
      <c r="U316" s="7" t="s">
        <v>49</v>
      </c>
      <c r="V316" s="7" t="s">
        <v>39</v>
      </c>
      <c r="W316" s="7">
        <v>30</v>
      </c>
      <c r="X316" s="7">
        <v>100</v>
      </c>
      <c r="Y316" s="10">
        <v>3000</v>
      </c>
      <c r="Z316" s="9">
        <v>291</v>
      </c>
    </row>
    <row r="317" spans="1:26" x14ac:dyDescent="0.35">
      <c r="A317" s="7">
        <v>1371</v>
      </c>
      <c r="B317" s="8">
        <v>41977</v>
      </c>
      <c r="C317" s="7">
        <v>4</v>
      </c>
      <c r="D317" s="7" t="s">
        <v>40</v>
      </c>
      <c r="E317" s="7" t="s">
        <v>41</v>
      </c>
      <c r="F317" s="7" t="s">
        <v>42</v>
      </c>
      <c r="G317" s="7" t="s">
        <v>43</v>
      </c>
      <c r="H317" s="7">
        <v>99999</v>
      </c>
      <c r="I317" s="7" t="s">
        <v>30</v>
      </c>
      <c r="J317" s="7" t="s">
        <v>44</v>
      </c>
      <c r="K317" s="7" t="s">
        <v>45</v>
      </c>
      <c r="L317" s="8">
        <v>41979</v>
      </c>
      <c r="M317" s="7" t="s">
        <v>46</v>
      </c>
      <c r="N317" s="7" t="s">
        <v>47</v>
      </c>
      <c r="O317" s="7" t="s">
        <v>41</v>
      </c>
      <c r="P317" s="7" t="s">
        <v>42</v>
      </c>
      <c r="Q317" s="7" t="s">
        <v>43</v>
      </c>
      <c r="R317" s="7">
        <v>99999</v>
      </c>
      <c r="S317" s="7" t="s">
        <v>30</v>
      </c>
      <c r="T317" s="7" t="s">
        <v>48</v>
      </c>
      <c r="U317" s="7" t="s">
        <v>50</v>
      </c>
      <c r="V317" s="7" t="s">
        <v>39</v>
      </c>
      <c r="W317" s="7">
        <v>53</v>
      </c>
      <c r="X317" s="7">
        <v>27</v>
      </c>
      <c r="Y317" s="10">
        <v>1431</v>
      </c>
      <c r="Z317" s="9">
        <v>143.1</v>
      </c>
    </row>
    <row r="318" spans="1:26" x14ac:dyDescent="0.35">
      <c r="A318" s="7">
        <v>1372</v>
      </c>
      <c r="B318" s="8">
        <v>41977</v>
      </c>
      <c r="C318" s="7">
        <v>4</v>
      </c>
      <c r="D318" s="7" t="s">
        <v>40</v>
      </c>
      <c r="E318" s="7" t="s">
        <v>41</v>
      </c>
      <c r="F318" s="7" t="s">
        <v>42</v>
      </c>
      <c r="G318" s="7" t="s">
        <v>43</v>
      </c>
      <c r="H318" s="7">
        <v>99999</v>
      </c>
      <c r="I318" s="7" t="s">
        <v>30</v>
      </c>
      <c r="J318" s="7" t="s">
        <v>44</v>
      </c>
      <c r="K318" s="7" t="s">
        <v>45</v>
      </c>
      <c r="L318" s="8">
        <v>41979</v>
      </c>
      <c r="M318" s="7" t="s">
        <v>46</v>
      </c>
      <c r="N318" s="7" t="s">
        <v>47</v>
      </c>
      <c r="O318" s="7" t="s">
        <v>41</v>
      </c>
      <c r="P318" s="7" t="s">
        <v>42</v>
      </c>
      <c r="Q318" s="7" t="s">
        <v>43</v>
      </c>
      <c r="R318" s="7">
        <v>99999</v>
      </c>
      <c r="S318" s="7" t="s">
        <v>30</v>
      </c>
      <c r="T318" s="7" t="s">
        <v>48</v>
      </c>
      <c r="U318" s="7" t="s">
        <v>38</v>
      </c>
      <c r="V318" s="7" t="s">
        <v>39</v>
      </c>
      <c r="W318" s="7">
        <v>3.5</v>
      </c>
      <c r="X318" s="7">
        <v>70</v>
      </c>
      <c r="Y318" s="10">
        <v>245</v>
      </c>
      <c r="Z318" s="9">
        <v>24.009999999999998</v>
      </c>
    </row>
    <row r="319" spans="1:26" x14ac:dyDescent="0.35">
      <c r="A319" s="7">
        <v>1373</v>
      </c>
      <c r="B319" s="8">
        <v>41985</v>
      </c>
      <c r="C319" s="7">
        <v>12</v>
      </c>
      <c r="D319" s="7" t="s">
        <v>51</v>
      </c>
      <c r="E319" s="7" t="s">
        <v>52</v>
      </c>
      <c r="F319" s="7" t="s">
        <v>28</v>
      </c>
      <c r="G319" s="7" t="s">
        <v>29</v>
      </c>
      <c r="H319" s="7">
        <v>99999</v>
      </c>
      <c r="I319" s="7" t="s">
        <v>30</v>
      </c>
      <c r="J319" s="7" t="s">
        <v>31</v>
      </c>
      <c r="K319" s="7" t="s">
        <v>32</v>
      </c>
      <c r="L319" s="8">
        <v>41987</v>
      </c>
      <c r="M319" s="7" t="s">
        <v>33</v>
      </c>
      <c r="N319" s="7" t="s">
        <v>53</v>
      </c>
      <c r="O319" s="7" t="s">
        <v>52</v>
      </c>
      <c r="P319" s="7" t="s">
        <v>28</v>
      </c>
      <c r="Q319" s="7" t="s">
        <v>29</v>
      </c>
      <c r="R319" s="7">
        <v>99999</v>
      </c>
      <c r="S319" s="7" t="s">
        <v>30</v>
      </c>
      <c r="T319" s="7" t="s">
        <v>48</v>
      </c>
      <c r="U319" s="7" t="s">
        <v>54</v>
      </c>
      <c r="V319" s="7" t="s">
        <v>37</v>
      </c>
      <c r="W319" s="7">
        <v>18</v>
      </c>
      <c r="X319" s="7">
        <v>57</v>
      </c>
      <c r="Y319" s="10">
        <v>1026</v>
      </c>
      <c r="Z319" s="9">
        <v>102.60000000000001</v>
      </c>
    </row>
    <row r="320" spans="1:26" x14ac:dyDescent="0.35">
      <c r="A320" s="7">
        <v>1374</v>
      </c>
      <c r="B320" s="8">
        <v>41985</v>
      </c>
      <c r="C320" s="7">
        <v>12</v>
      </c>
      <c r="D320" s="7" t="s">
        <v>51</v>
      </c>
      <c r="E320" s="7" t="s">
        <v>52</v>
      </c>
      <c r="F320" s="7" t="s">
        <v>28</v>
      </c>
      <c r="G320" s="7" t="s">
        <v>29</v>
      </c>
      <c r="H320" s="7">
        <v>99999</v>
      </c>
      <c r="I320" s="7" t="s">
        <v>30</v>
      </c>
      <c r="J320" s="7" t="s">
        <v>31</v>
      </c>
      <c r="K320" s="7" t="s">
        <v>32</v>
      </c>
      <c r="L320" s="8">
        <v>41987</v>
      </c>
      <c r="M320" s="7" t="s">
        <v>33</v>
      </c>
      <c r="N320" s="7" t="s">
        <v>53</v>
      </c>
      <c r="O320" s="7" t="s">
        <v>52</v>
      </c>
      <c r="P320" s="7" t="s">
        <v>28</v>
      </c>
      <c r="Q320" s="7" t="s">
        <v>29</v>
      </c>
      <c r="R320" s="7">
        <v>99999</v>
      </c>
      <c r="S320" s="7" t="s">
        <v>30</v>
      </c>
      <c r="T320" s="7" t="s">
        <v>48</v>
      </c>
      <c r="U320" s="7" t="s">
        <v>55</v>
      </c>
      <c r="V320" s="7" t="s">
        <v>37</v>
      </c>
      <c r="W320" s="7">
        <v>46</v>
      </c>
      <c r="X320" s="7">
        <v>83</v>
      </c>
      <c r="Y320" s="10">
        <v>3818</v>
      </c>
      <c r="Z320" s="9">
        <v>374.16399999999999</v>
      </c>
    </row>
    <row r="321" spans="1:26" x14ac:dyDescent="0.35">
      <c r="A321" s="7">
        <v>1375</v>
      </c>
      <c r="B321" s="8">
        <v>41981</v>
      </c>
      <c r="C321" s="7">
        <v>8</v>
      </c>
      <c r="D321" s="7" t="s">
        <v>56</v>
      </c>
      <c r="E321" s="7" t="s">
        <v>57</v>
      </c>
      <c r="F321" s="7" t="s">
        <v>58</v>
      </c>
      <c r="G321" s="7" t="s">
        <v>59</v>
      </c>
      <c r="H321" s="7">
        <v>99999</v>
      </c>
      <c r="I321" s="7" t="s">
        <v>30</v>
      </c>
      <c r="J321" s="7" t="s">
        <v>60</v>
      </c>
      <c r="K321" s="7" t="s">
        <v>61</v>
      </c>
      <c r="L321" s="8">
        <v>41983</v>
      </c>
      <c r="M321" s="7" t="s">
        <v>62</v>
      </c>
      <c r="N321" s="7" t="s">
        <v>63</v>
      </c>
      <c r="O321" s="7" t="s">
        <v>57</v>
      </c>
      <c r="P321" s="7" t="s">
        <v>58</v>
      </c>
      <c r="Q321" s="7" t="s">
        <v>59</v>
      </c>
      <c r="R321" s="7">
        <v>99999</v>
      </c>
      <c r="S321" s="7" t="s">
        <v>30</v>
      </c>
      <c r="T321" s="7" t="s">
        <v>48</v>
      </c>
      <c r="U321" s="7" t="s">
        <v>64</v>
      </c>
      <c r="V321" s="7" t="s">
        <v>65</v>
      </c>
      <c r="W321" s="7">
        <v>9.1999999999999993</v>
      </c>
      <c r="X321" s="7">
        <v>76</v>
      </c>
      <c r="Y321" s="10">
        <v>699.19999999999993</v>
      </c>
      <c r="Z321" s="9">
        <v>67.123199999999997</v>
      </c>
    </row>
    <row r="322" spans="1:26" x14ac:dyDescent="0.35">
      <c r="A322" s="7">
        <v>1376</v>
      </c>
      <c r="B322" s="8">
        <v>41977</v>
      </c>
      <c r="C322" s="7">
        <v>4</v>
      </c>
      <c r="D322" s="7" t="s">
        <v>40</v>
      </c>
      <c r="E322" s="7" t="s">
        <v>41</v>
      </c>
      <c r="F322" s="7" t="s">
        <v>42</v>
      </c>
      <c r="G322" s="7" t="s">
        <v>43</v>
      </c>
      <c r="H322" s="7">
        <v>99999</v>
      </c>
      <c r="I322" s="7" t="s">
        <v>30</v>
      </c>
      <c r="J322" s="7" t="s">
        <v>44</v>
      </c>
      <c r="K322" s="7" t="s">
        <v>45</v>
      </c>
      <c r="L322" s="7">
        <v>41979</v>
      </c>
      <c r="M322" s="7" t="s">
        <v>62</v>
      </c>
      <c r="N322" s="7" t="s">
        <v>47</v>
      </c>
      <c r="O322" s="7" t="s">
        <v>41</v>
      </c>
      <c r="P322" s="7" t="s">
        <v>42</v>
      </c>
      <c r="Q322" s="7" t="s">
        <v>43</v>
      </c>
      <c r="R322" s="7">
        <v>99999</v>
      </c>
      <c r="S322" s="7" t="s">
        <v>30</v>
      </c>
      <c r="T322" s="7" t="s">
        <v>35</v>
      </c>
      <c r="U322" s="7" t="s">
        <v>64</v>
      </c>
      <c r="V322" s="7" t="s">
        <v>65</v>
      </c>
      <c r="W322" s="7">
        <v>9.1999999999999993</v>
      </c>
      <c r="X322" s="7">
        <v>80</v>
      </c>
      <c r="Y322" s="10">
        <v>736</v>
      </c>
      <c r="Z322" s="9">
        <v>72.864000000000004</v>
      </c>
    </row>
    <row r="323" spans="1:26" x14ac:dyDescent="0.35">
      <c r="A323" s="7">
        <v>1377</v>
      </c>
      <c r="B323" s="8">
        <v>42002</v>
      </c>
      <c r="C323" s="7">
        <v>29</v>
      </c>
      <c r="D323" s="7" t="s">
        <v>66</v>
      </c>
      <c r="E323" s="7" t="s">
        <v>67</v>
      </c>
      <c r="F323" s="7" t="s">
        <v>68</v>
      </c>
      <c r="G323" s="7" t="s">
        <v>69</v>
      </c>
      <c r="H323" s="7">
        <v>99999</v>
      </c>
      <c r="I323" s="7" t="s">
        <v>30</v>
      </c>
      <c r="J323" s="7" t="s">
        <v>70</v>
      </c>
      <c r="K323" s="7" t="s">
        <v>32</v>
      </c>
      <c r="L323" s="7">
        <v>42004</v>
      </c>
      <c r="M323" s="7" t="s">
        <v>33</v>
      </c>
      <c r="N323" s="7" t="s">
        <v>71</v>
      </c>
      <c r="O323" s="7" t="s">
        <v>67</v>
      </c>
      <c r="P323" s="7" t="s">
        <v>68</v>
      </c>
      <c r="Q323" s="7" t="s">
        <v>69</v>
      </c>
      <c r="R323" s="7">
        <v>99999</v>
      </c>
      <c r="S323" s="7" t="s">
        <v>30</v>
      </c>
      <c r="T323" s="7" t="s">
        <v>35</v>
      </c>
      <c r="U323" s="7" t="s">
        <v>72</v>
      </c>
      <c r="V323" s="7" t="s">
        <v>73</v>
      </c>
      <c r="W323" s="7">
        <v>12.75</v>
      </c>
      <c r="X323" s="7">
        <v>47</v>
      </c>
      <c r="Y323" s="10">
        <v>599.25</v>
      </c>
      <c r="Z323" s="9">
        <v>59.325750000000006</v>
      </c>
    </row>
    <row r="324" spans="1:26" x14ac:dyDescent="0.35">
      <c r="A324" s="7">
        <v>1378</v>
      </c>
      <c r="B324" s="8">
        <v>41976</v>
      </c>
      <c r="C324" s="7">
        <v>3</v>
      </c>
      <c r="D324" s="7" t="s">
        <v>74</v>
      </c>
      <c r="E324" s="7" t="s">
        <v>75</v>
      </c>
      <c r="F324" s="7" t="s">
        <v>76</v>
      </c>
      <c r="G324" s="7" t="s">
        <v>77</v>
      </c>
      <c r="H324" s="7">
        <v>99999</v>
      </c>
      <c r="I324" s="7" t="s">
        <v>30</v>
      </c>
      <c r="J324" s="7" t="s">
        <v>31</v>
      </c>
      <c r="K324" s="7" t="s">
        <v>32</v>
      </c>
      <c r="L324" s="7">
        <v>41978</v>
      </c>
      <c r="M324" s="7" t="s">
        <v>33</v>
      </c>
      <c r="N324" s="7" t="s">
        <v>78</v>
      </c>
      <c r="O324" s="7" t="s">
        <v>75</v>
      </c>
      <c r="P324" s="7" t="s">
        <v>76</v>
      </c>
      <c r="Q324" s="7" t="s">
        <v>77</v>
      </c>
      <c r="R324" s="7">
        <v>99999</v>
      </c>
      <c r="S324" s="7" t="s">
        <v>30</v>
      </c>
      <c r="T324" s="7" t="s">
        <v>79</v>
      </c>
      <c r="U324" s="7" t="s">
        <v>80</v>
      </c>
      <c r="V324" s="7" t="s">
        <v>81</v>
      </c>
      <c r="W324" s="7">
        <v>9.65</v>
      </c>
      <c r="X324" s="7">
        <v>96</v>
      </c>
      <c r="Y324" s="10">
        <v>926.40000000000009</v>
      </c>
      <c r="Z324" s="9">
        <v>94.492800000000017</v>
      </c>
    </row>
    <row r="325" spans="1:26" x14ac:dyDescent="0.35">
      <c r="A325" s="7">
        <v>1379</v>
      </c>
      <c r="B325" s="8">
        <v>41979</v>
      </c>
      <c r="C325" s="7">
        <v>6</v>
      </c>
      <c r="D325" s="7" t="s">
        <v>82</v>
      </c>
      <c r="E325" s="7" t="s">
        <v>83</v>
      </c>
      <c r="F325" s="7" t="s">
        <v>84</v>
      </c>
      <c r="G325" s="7" t="s">
        <v>85</v>
      </c>
      <c r="H325" s="7">
        <v>99999</v>
      </c>
      <c r="I325" s="7" t="s">
        <v>30</v>
      </c>
      <c r="J325" s="7" t="s">
        <v>86</v>
      </c>
      <c r="K325" s="7" t="s">
        <v>61</v>
      </c>
      <c r="L325" s="7">
        <v>41981</v>
      </c>
      <c r="M325" s="7" t="s">
        <v>33</v>
      </c>
      <c r="N325" s="7" t="s">
        <v>87</v>
      </c>
      <c r="O325" s="7" t="s">
        <v>83</v>
      </c>
      <c r="P325" s="7" t="s">
        <v>84</v>
      </c>
      <c r="Q325" s="7" t="s">
        <v>85</v>
      </c>
      <c r="R325" s="7">
        <v>99999</v>
      </c>
      <c r="S325" s="7" t="s">
        <v>30</v>
      </c>
      <c r="T325" s="7" t="s">
        <v>48</v>
      </c>
      <c r="U325" s="7" t="s">
        <v>88</v>
      </c>
      <c r="V325" s="7" t="s">
        <v>89</v>
      </c>
      <c r="W325" s="7">
        <v>40</v>
      </c>
      <c r="X325" s="7">
        <v>32</v>
      </c>
      <c r="Y325" s="10">
        <v>1280</v>
      </c>
      <c r="Z325" s="9">
        <v>134.4</v>
      </c>
    </row>
    <row r="326" spans="1:26" x14ac:dyDescent="0.35">
      <c r="A326" s="7">
        <v>1380</v>
      </c>
      <c r="B326" s="8">
        <v>42001</v>
      </c>
      <c r="C326" s="7">
        <v>28</v>
      </c>
      <c r="D326" s="7" t="s">
        <v>90</v>
      </c>
      <c r="E326" s="7" t="s">
        <v>91</v>
      </c>
      <c r="F326" s="7" t="s">
        <v>92</v>
      </c>
      <c r="G326" s="7" t="s">
        <v>93</v>
      </c>
      <c r="H326" s="7">
        <v>99999</v>
      </c>
      <c r="I326" s="7" t="s">
        <v>30</v>
      </c>
      <c r="J326" s="7" t="s">
        <v>94</v>
      </c>
      <c r="K326" s="7" t="s">
        <v>95</v>
      </c>
      <c r="L326" s="8">
        <v>42003</v>
      </c>
      <c r="M326" s="7" t="s">
        <v>62</v>
      </c>
      <c r="N326" s="7" t="s">
        <v>96</v>
      </c>
      <c r="O326" s="7" t="s">
        <v>91</v>
      </c>
      <c r="P326" s="7" t="s">
        <v>92</v>
      </c>
      <c r="Q326" s="7" t="s">
        <v>93</v>
      </c>
      <c r="R326" s="7">
        <v>99999</v>
      </c>
      <c r="S326" s="7" t="s">
        <v>30</v>
      </c>
      <c r="T326" s="7" t="s">
        <v>35</v>
      </c>
      <c r="U326" s="7" t="s">
        <v>55</v>
      </c>
      <c r="V326" s="7" t="s">
        <v>37</v>
      </c>
      <c r="W326" s="7">
        <v>46</v>
      </c>
      <c r="X326" s="7">
        <v>16</v>
      </c>
      <c r="Y326" s="10">
        <v>736</v>
      </c>
      <c r="Z326" s="9">
        <v>73.600000000000009</v>
      </c>
    </row>
    <row r="327" spans="1:26" x14ac:dyDescent="0.35">
      <c r="A327" s="7">
        <v>1381</v>
      </c>
      <c r="B327" s="8">
        <v>41981</v>
      </c>
      <c r="C327" s="7">
        <v>8</v>
      </c>
      <c r="D327" s="7" t="s">
        <v>56</v>
      </c>
      <c r="E327" s="7" t="s">
        <v>57</v>
      </c>
      <c r="F327" s="7" t="s">
        <v>58</v>
      </c>
      <c r="G327" s="7" t="s">
        <v>59</v>
      </c>
      <c r="H327" s="7">
        <v>99999</v>
      </c>
      <c r="I327" s="7" t="s">
        <v>30</v>
      </c>
      <c r="J327" s="7" t="s">
        <v>60</v>
      </c>
      <c r="K327" s="7" t="s">
        <v>61</v>
      </c>
      <c r="L327" s="8">
        <v>41983</v>
      </c>
      <c r="M327" s="7" t="s">
        <v>62</v>
      </c>
      <c r="N327" s="7" t="s">
        <v>63</v>
      </c>
      <c r="O327" s="7" t="s">
        <v>57</v>
      </c>
      <c r="P327" s="7" t="s">
        <v>58</v>
      </c>
      <c r="Q327" s="7" t="s">
        <v>59</v>
      </c>
      <c r="R327" s="7">
        <v>99999</v>
      </c>
      <c r="S327" s="7" t="s">
        <v>30</v>
      </c>
      <c r="T327" s="7" t="s">
        <v>35</v>
      </c>
      <c r="U327" s="7" t="s">
        <v>72</v>
      </c>
      <c r="V327" s="7" t="s">
        <v>73</v>
      </c>
      <c r="W327" s="7">
        <v>12.75</v>
      </c>
      <c r="X327" s="7">
        <v>41</v>
      </c>
      <c r="Y327" s="10">
        <v>522.75</v>
      </c>
      <c r="Z327" s="9">
        <v>51.229500000000002</v>
      </c>
    </row>
    <row r="328" spans="1:26" x14ac:dyDescent="0.35">
      <c r="A328" s="7">
        <v>1382</v>
      </c>
      <c r="B328" s="8">
        <v>41983</v>
      </c>
      <c r="C328" s="7">
        <v>10</v>
      </c>
      <c r="D328" s="7" t="s">
        <v>97</v>
      </c>
      <c r="E328" s="7" t="s">
        <v>98</v>
      </c>
      <c r="F328" s="7" t="s">
        <v>99</v>
      </c>
      <c r="G328" s="7" t="s">
        <v>100</v>
      </c>
      <c r="H328" s="7">
        <v>99999</v>
      </c>
      <c r="I328" s="7" t="s">
        <v>30</v>
      </c>
      <c r="J328" s="7" t="s">
        <v>101</v>
      </c>
      <c r="K328" s="7" t="s">
        <v>45</v>
      </c>
      <c r="L328" s="8">
        <v>41985</v>
      </c>
      <c r="M328" s="7" t="s">
        <v>33</v>
      </c>
      <c r="N328" s="7" t="s">
        <v>102</v>
      </c>
      <c r="O328" s="7" t="s">
        <v>98</v>
      </c>
      <c r="P328" s="7" t="s">
        <v>99</v>
      </c>
      <c r="Q328" s="7" t="s">
        <v>100</v>
      </c>
      <c r="R328" s="7">
        <v>99999</v>
      </c>
      <c r="S328" s="7" t="s">
        <v>30</v>
      </c>
      <c r="T328" s="7" t="s">
        <v>48</v>
      </c>
      <c r="U328" s="7" t="s">
        <v>103</v>
      </c>
      <c r="V328" s="7" t="s">
        <v>37</v>
      </c>
      <c r="W328" s="7">
        <v>2.99</v>
      </c>
      <c r="X328" s="7">
        <v>41</v>
      </c>
      <c r="Y328" s="10">
        <v>122.59</v>
      </c>
      <c r="Z328" s="9">
        <v>12.871950000000002</v>
      </c>
    </row>
    <row r="329" spans="1:26" x14ac:dyDescent="0.35">
      <c r="A329" s="7">
        <v>1383</v>
      </c>
      <c r="B329" s="8">
        <v>41980</v>
      </c>
      <c r="C329" s="7">
        <v>7</v>
      </c>
      <c r="D329" s="7" t="s">
        <v>104</v>
      </c>
      <c r="E329" s="7" t="s">
        <v>105</v>
      </c>
      <c r="F329" s="7" t="s">
        <v>106</v>
      </c>
      <c r="G329" s="7" t="s">
        <v>107</v>
      </c>
      <c r="H329" s="7">
        <v>99999</v>
      </c>
      <c r="I329" s="7" t="s">
        <v>30</v>
      </c>
      <c r="J329" s="7" t="s">
        <v>60</v>
      </c>
      <c r="K329" s="7" t="s">
        <v>61</v>
      </c>
      <c r="L329" s="8"/>
      <c r="N329" s="7" t="s">
        <v>108</v>
      </c>
      <c r="O329" s="7" t="s">
        <v>105</v>
      </c>
      <c r="P329" s="7" t="s">
        <v>106</v>
      </c>
      <c r="Q329" s="7" t="s">
        <v>107</v>
      </c>
      <c r="R329" s="7">
        <v>99999</v>
      </c>
      <c r="S329" s="7" t="s">
        <v>30</v>
      </c>
      <c r="U329" s="7" t="s">
        <v>55</v>
      </c>
      <c r="V329" s="7" t="s">
        <v>37</v>
      </c>
      <c r="W329" s="7">
        <v>46</v>
      </c>
      <c r="X329" s="7">
        <v>41</v>
      </c>
      <c r="Y329" s="10">
        <v>1886</v>
      </c>
      <c r="Z329" s="9">
        <v>194.25800000000004</v>
      </c>
    </row>
    <row r="330" spans="1:26" x14ac:dyDescent="0.35">
      <c r="A330" s="7">
        <v>1384</v>
      </c>
      <c r="B330" s="8">
        <v>41983</v>
      </c>
      <c r="C330" s="7">
        <v>10</v>
      </c>
      <c r="D330" s="7" t="s">
        <v>97</v>
      </c>
      <c r="E330" s="7" t="s">
        <v>98</v>
      </c>
      <c r="F330" s="7" t="s">
        <v>99</v>
      </c>
      <c r="G330" s="7" t="s">
        <v>100</v>
      </c>
      <c r="H330" s="7">
        <v>99999</v>
      </c>
      <c r="I330" s="7" t="s">
        <v>30</v>
      </c>
      <c r="J330" s="7" t="s">
        <v>101</v>
      </c>
      <c r="K330" s="7" t="s">
        <v>45</v>
      </c>
      <c r="L330" s="8">
        <v>41985</v>
      </c>
      <c r="M330" s="7" t="s">
        <v>46</v>
      </c>
      <c r="N330" s="7" t="s">
        <v>102</v>
      </c>
      <c r="O330" s="7" t="s">
        <v>98</v>
      </c>
      <c r="P330" s="7" t="s">
        <v>99</v>
      </c>
      <c r="Q330" s="7" t="s">
        <v>100</v>
      </c>
      <c r="R330" s="7">
        <v>99999</v>
      </c>
      <c r="S330" s="7" t="s">
        <v>30</v>
      </c>
      <c r="U330" s="7" t="s">
        <v>109</v>
      </c>
      <c r="V330" s="7" t="s">
        <v>110</v>
      </c>
      <c r="W330" s="9">
        <v>25</v>
      </c>
      <c r="X330" s="7">
        <v>94</v>
      </c>
      <c r="Y330" s="10">
        <v>2350</v>
      </c>
      <c r="Z330" s="9">
        <v>235</v>
      </c>
    </row>
    <row r="331" spans="1:26" x14ac:dyDescent="0.35">
      <c r="A331" s="7">
        <v>1385</v>
      </c>
      <c r="B331" s="8">
        <v>41983</v>
      </c>
      <c r="C331" s="7">
        <v>10</v>
      </c>
      <c r="D331" s="7" t="s">
        <v>97</v>
      </c>
      <c r="E331" s="7" t="s">
        <v>98</v>
      </c>
      <c r="F331" s="7" t="s">
        <v>99</v>
      </c>
      <c r="G331" s="7" t="s">
        <v>100</v>
      </c>
      <c r="H331" s="7">
        <v>99999</v>
      </c>
      <c r="I331" s="7" t="s">
        <v>30</v>
      </c>
      <c r="J331" s="7" t="s">
        <v>101</v>
      </c>
      <c r="K331" s="7" t="s">
        <v>45</v>
      </c>
      <c r="L331" s="8">
        <v>41985</v>
      </c>
      <c r="M331" s="7" t="s">
        <v>46</v>
      </c>
      <c r="N331" s="7" t="s">
        <v>102</v>
      </c>
      <c r="O331" s="7" t="s">
        <v>98</v>
      </c>
      <c r="P331" s="7" t="s">
        <v>99</v>
      </c>
      <c r="Q331" s="7" t="s">
        <v>100</v>
      </c>
      <c r="R331" s="7">
        <v>99999</v>
      </c>
      <c r="S331" s="7" t="s">
        <v>30</v>
      </c>
      <c r="U331" s="7" t="s">
        <v>111</v>
      </c>
      <c r="V331" s="7" t="s">
        <v>112</v>
      </c>
      <c r="W331" s="9">
        <v>22</v>
      </c>
      <c r="X331" s="7">
        <v>20</v>
      </c>
      <c r="Y331" s="10">
        <v>440</v>
      </c>
      <c r="Z331" s="9">
        <v>46.2</v>
      </c>
    </row>
    <row r="332" spans="1:26" x14ac:dyDescent="0.35">
      <c r="A332" s="7">
        <v>1386</v>
      </c>
      <c r="B332" s="8">
        <v>41983</v>
      </c>
      <c r="C332" s="7">
        <v>10</v>
      </c>
      <c r="D332" s="7" t="s">
        <v>97</v>
      </c>
      <c r="E332" s="7" t="s">
        <v>98</v>
      </c>
      <c r="F332" s="7" t="s">
        <v>99</v>
      </c>
      <c r="G332" s="7" t="s">
        <v>100</v>
      </c>
      <c r="H332" s="7">
        <v>99999</v>
      </c>
      <c r="I332" s="7" t="s">
        <v>30</v>
      </c>
      <c r="J332" s="7" t="s">
        <v>101</v>
      </c>
      <c r="K332" s="7" t="s">
        <v>45</v>
      </c>
      <c r="L332" s="7">
        <v>41985</v>
      </c>
      <c r="M332" s="7" t="s">
        <v>46</v>
      </c>
      <c r="N332" s="7" t="s">
        <v>102</v>
      </c>
      <c r="O332" s="7" t="s">
        <v>98</v>
      </c>
      <c r="P332" s="7" t="s">
        <v>99</v>
      </c>
      <c r="Q332" s="7" t="s">
        <v>100</v>
      </c>
      <c r="R332" s="7">
        <v>99999</v>
      </c>
      <c r="S332" s="7" t="s">
        <v>30</v>
      </c>
      <c r="U332" s="7" t="s">
        <v>64</v>
      </c>
      <c r="V332" s="7" t="s">
        <v>65</v>
      </c>
      <c r="W332" s="9">
        <v>9.1999999999999993</v>
      </c>
      <c r="X332" s="7">
        <v>13</v>
      </c>
      <c r="Y332" s="10">
        <v>119.6</v>
      </c>
      <c r="Z332" s="9">
        <v>12.438400000000001</v>
      </c>
    </row>
    <row r="333" spans="1:26" x14ac:dyDescent="0.35">
      <c r="A333" s="7">
        <v>1387</v>
      </c>
      <c r="B333" s="8">
        <v>41984</v>
      </c>
      <c r="C333" s="7">
        <v>11</v>
      </c>
      <c r="D333" s="7" t="s">
        <v>113</v>
      </c>
      <c r="E333" s="7" t="s">
        <v>114</v>
      </c>
      <c r="F333" s="7" t="s">
        <v>115</v>
      </c>
      <c r="G333" s="7" t="s">
        <v>116</v>
      </c>
      <c r="H333" s="7">
        <v>99999</v>
      </c>
      <c r="I333" s="7" t="s">
        <v>30</v>
      </c>
      <c r="J333" s="7" t="s">
        <v>94</v>
      </c>
      <c r="K333" s="7" t="s">
        <v>95</v>
      </c>
      <c r="M333" s="7" t="s">
        <v>62</v>
      </c>
      <c r="N333" s="7" t="s">
        <v>117</v>
      </c>
      <c r="O333" s="7" t="s">
        <v>114</v>
      </c>
      <c r="P333" s="7" t="s">
        <v>115</v>
      </c>
      <c r="Q333" s="7" t="s">
        <v>116</v>
      </c>
      <c r="R333" s="7">
        <v>99999</v>
      </c>
      <c r="S333" s="7" t="s">
        <v>30</v>
      </c>
      <c r="U333" s="7" t="s">
        <v>38</v>
      </c>
      <c r="V333" s="7" t="s">
        <v>39</v>
      </c>
      <c r="W333" s="9">
        <v>3.5</v>
      </c>
      <c r="X333" s="7">
        <v>74</v>
      </c>
      <c r="Y333" s="10">
        <v>259</v>
      </c>
      <c r="Z333" s="9">
        <v>26.936000000000003</v>
      </c>
    </row>
    <row r="334" spans="1:26" x14ac:dyDescent="0.35">
      <c r="A334" s="7">
        <v>1388</v>
      </c>
      <c r="B334" s="8">
        <v>41984</v>
      </c>
      <c r="C334" s="7">
        <v>11</v>
      </c>
      <c r="D334" s="7" t="s">
        <v>113</v>
      </c>
      <c r="E334" s="7" t="s">
        <v>114</v>
      </c>
      <c r="F334" s="7" t="s">
        <v>115</v>
      </c>
      <c r="G334" s="7" t="s">
        <v>116</v>
      </c>
      <c r="H334" s="7">
        <v>99999</v>
      </c>
      <c r="I334" s="7" t="s">
        <v>30</v>
      </c>
      <c r="J334" s="7" t="s">
        <v>94</v>
      </c>
      <c r="K334" s="7" t="s">
        <v>95</v>
      </c>
      <c r="M334" s="7" t="s">
        <v>62</v>
      </c>
      <c r="N334" s="7" t="s">
        <v>117</v>
      </c>
      <c r="O334" s="7" t="s">
        <v>114</v>
      </c>
      <c r="P334" s="7" t="s">
        <v>115</v>
      </c>
      <c r="Q334" s="7" t="s">
        <v>116</v>
      </c>
      <c r="R334" s="7">
        <v>99999</v>
      </c>
      <c r="S334" s="7" t="s">
        <v>30</v>
      </c>
      <c r="U334" s="7" t="s">
        <v>103</v>
      </c>
      <c r="V334" s="7" t="s">
        <v>37</v>
      </c>
      <c r="W334" s="9">
        <v>2.99</v>
      </c>
      <c r="X334" s="7">
        <v>53</v>
      </c>
      <c r="Y334" s="10">
        <v>158.47</v>
      </c>
      <c r="Z334" s="9">
        <v>16.005470000000003</v>
      </c>
    </row>
    <row r="335" spans="1:26" x14ac:dyDescent="0.35">
      <c r="A335" s="7">
        <v>1389</v>
      </c>
      <c r="B335" s="8">
        <v>41974</v>
      </c>
      <c r="C335" s="7">
        <v>1</v>
      </c>
      <c r="D335" s="7" t="s">
        <v>118</v>
      </c>
      <c r="E335" s="7" t="s">
        <v>119</v>
      </c>
      <c r="F335" s="7" t="s">
        <v>120</v>
      </c>
      <c r="G335" s="7" t="s">
        <v>121</v>
      </c>
      <c r="H335" s="7">
        <v>99999</v>
      </c>
      <c r="I335" s="7" t="s">
        <v>30</v>
      </c>
      <c r="J335" s="7" t="s">
        <v>60</v>
      </c>
      <c r="K335" s="7" t="s">
        <v>61</v>
      </c>
      <c r="N335" s="7" t="s">
        <v>122</v>
      </c>
      <c r="O335" s="7" t="s">
        <v>119</v>
      </c>
      <c r="P335" s="7" t="s">
        <v>120</v>
      </c>
      <c r="Q335" s="7" t="s">
        <v>121</v>
      </c>
      <c r="R335" s="7">
        <v>99999</v>
      </c>
      <c r="S335" s="7" t="s">
        <v>30</v>
      </c>
      <c r="U335" s="7" t="s">
        <v>54</v>
      </c>
      <c r="V335" s="7" t="s">
        <v>37</v>
      </c>
      <c r="W335" s="9">
        <v>18</v>
      </c>
      <c r="X335" s="7">
        <v>99</v>
      </c>
      <c r="Y335" s="10">
        <v>1782</v>
      </c>
      <c r="Z335" s="9">
        <v>174.63600000000002</v>
      </c>
    </row>
    <row r="336" spans="1:26" x14ac:dyDescent="0.35">
      <c r="A336" s="7">
        <v>1390</v>
      </c>
      <c r="B336" s="8">
        <v>41974</v>
      </c>
      <c r="C336" s="7">
        <v>1</v>
      </c>
      <c r="D336" s="7" t="s">
        <v>118</v>
      </c>
      <c r="E336" s="7" t="s">
        <v>119</v>
      </c>
      <c r="F336" s="7" t="s">
        <v>120</v>
      </c>
      <c r="G336" s="7" t="s">
        <v>121</v>
      </c>
      <c r="H336" s="7">
        <v>99999</v>
      </c>
      <c r="I336" s="7" t="s">
        <v>30</v>
      </c>
      <c r="J336" s="7" t="s">
        <v>60</v>
      </c>
      <c r="K336" s="7" t="s">
        <v>61</v>
      </c>
      <c r="N336" s="7" t="s">
        <v>122</v>
      </c>
      <c r="O336" s="7" t="s">
        <v>119</v>
      </c>
      <c r="P336" s="7" t="s">
        <v>120</v>
      </c>
      <c r="Q336" s="7" t="s">
        <v>121</v>
      </c>
      <c r="R336" s="7">
        <v>99999</v>
      </c>
      <c r="S336" s="7" t="s">
        <v>30</v>
      </c>
      <c r="U336" s="7" t="s">
        <v>55</v>
      </c>
      <c r="V336" s="7" t="s">
        <v>37</v>
      </c>
      <c r="W336" s="9">
        <v>46</v>
      </c>
      <c r="X336" s="7">
        <v>89</v>
      </c>
      <c r="Y336" s="10">
        <v>4094</v>
      </c>
      <c r="Z336" s="9">
        <v>388.93</v>
      </c>
    </row>
    <row r="337" spans="1:26" x14ac:dyDescent="0.35">
      <c r="A337" s="7">
        <v>1391</v>
      </c>
      <c r="B337" s="8">
        <v>41974</v>
      </c>
      <c r="C337" s="7">
        <v>1</v>
      </c>
      <c r="D337" s="7" t="s">
        <v>118</v>
      </c>
      <c r="E337" s="7" t="s">
        <v>119</v>
      </c>
      <c r="F337" s="7" t="s">
        <v>120</v>
      </c>
      <c r="G337" s="7" t="s">
        <v>121</v>
      </c>
      <c r="H337" s="7">
        <v>99999</v>
      </c>
      <c r="I337" s="7" t="s">
        <v>30</v>
      </c>
      <c r="J337" s="7" t="s">
        <v>60</v>
      </c>
      <c r="K337" s="7" t="s">
        <v>61</v>
      </c>
      <c r="L337" s="8"/>
      <c r="N337" s="7" t="s">
        <v>122</v>
      </c>
      <c r="O337" s="7" t="s">
        <v>119</v>
      </c>
      <c r="P337" s="7" t="s">
        <v>120</v>
      </c>
      <c r="Q337" s="7" t="s">
        <v>121</v>
      </c>
      <c r="R337" s="7">
        <v>99999</v>
      </c>
      <c r="S337" s="7" t="s">
        <v>30</v>
      </c>
      <c r="U337" s="7" t="s">
        <v>103</v>
      </c>
      <c r="V337" s="7" t="s">
        <v>37</v>
      </c>
      <c r="W337" s="9">
        <v>2.99</v>
      </c>
      <c r="X337" s="7">
        <v>64</v>
      </c>
      <c r="Y337" s="10">
        <v>191.36</v>
      </c>
      <c r="Z337" s="9">
        <v>19.518720000000002</v>
      </c>
    </row>
    <row r="338" spans="1:26" x14ac:dyDescent="0.35">
      <c r="A338" s="7">
        <v>1392</v>
      </c>
      <c r="B338" s="8">
        <v>42001</v>
      </c>
      <c r="C338" s="7">
        <v>28</v>
      </c>
      <c r="D338" s="7" t="s">
        <v>90</v>
      </c>
      <c r="E338" s="7" t="s">
        <v>91</v>
      </c>
      <c r="F338" s="7" t="s">
        <v>92</v>
      </c>
      <c r="G338" s="7" t="s">
        <v>93</v>
      </c>
      <c r="H338" s="7">
        <v>99999</v>
      </c>
      <c r="I338" s="7" t="s">
        <v>30</v>
      </c>
      <c r="J338" s="7" t="s">
        <v>94</v>
      </c>
      <c r="K338" s="7" t="s">
        <v>95</v>
      </c>
      <c r="L338" s="8">
        <v>42003</v>
      </c>
      <c r="M338" s="7" t="s">
        <v>62</v>
      </c>
      <c r="N338" s="7" t="s">
        <v>96</v>
      </c>
      <c r="O338" s="7" t="s">
        <v>91</v>
      </c>
      <c r="P338" s="7" t="s">
        <v>92</v>
      </c>
      <c r="Q338" s="7" t="s">
        <v>93</v>
      </c>
      <c r="R338" s="7">
        <v>99999</v>
      </c>
      <c r="S338" s="7" t="s">
        <v>30</v>
      </c>
      <c r="T338" s="7" t="s">
        <v>48</v>
      </c>
      <c r="U338" s="7" t="s">
        <v>80</v>
      </c>
      <c r="V338" s="7" t="s">
        <v>81</v>
      </c>
      <c r="W338" s="9">
        <v>9.65</v>
      </c>
      <c r="X338" s="7">
        <v>98</v>
      </c>
      <c r="Y338" s="10">
        <v>945.7</v>
      </c>
      <c r="Z338" s="9">
        <v>96.461400000000012</v>
      </c>
    </row>
    <row r="339" spans="1:26" x14ac:dyDescent="0.35">
      <c r="A339" s="7">
        <v>1393</v>
      </c>
      <c r="B339" s="8">
        <v>42001</v>
      </c>
      <c r="C339" s="7">
        <v>28</v>
      </c>
      <c r="D339" s="7" t="s">
        <v>90</v>
      </c>
      <c r="E339" s="7" t="s">
        <v>91</v>
      </c>
      <c r="F339" s="7" t="s">
        <v>92</v>
      </c>
      <c r="G339" s="7" t="s">
        <v>93</v>
      </c>
      <c r="H339" s="7">
        <v>99999</v>
      </c>
      <c r="I339" s="7" t="s">
        <v>30</v>
      </c>
      <c r="J339" s="7" t="s">
        <v>94</v>
      </c>
      <c r="K339" s="7" t="s">
        <v>95</v>
      </c>
      <c r="L339" s="8">
        <v>42003</v>
      </c>
      <c r="M339" s="7" t="s">
        <v>62</v>
      </c>
      <c r="N339" s="7" t="s">
        <v>96</v>
      </c>
      <c r="O339" s="7" t="s">
        <v>91</v>
      </c>
      <c r="P339" s="7" t="s">
        <v>92</v>
      </c>
      <c r="Q339" s="7" t="s">
        <v>93</v>
      </c>
      <c r="R339" s="7">
        <v>99999</v>
      </c>
      <c r="S339" s="7" t="s">
        <v>30</v>
      </c>
      <c r="T339" s="7" t="s">
        <v>48</v>
      </c>
      <c r="U339" s="7" t="s">
        <v>123</v>
      </c>
      <c r="V339" s="7" t="s">
        <v>124</v>
      </c>
      <c r="W339" s="9">
        <v>18.399999999999999</v>
      </c>
      <c r="X339" s="7">
        <v>86</v>
      </c>
      <c r="Y339" s="10">
        <v>1582.3999999999999</v>
      </c>
      <c r="Z339" s="9">
        <v>155.0752</v>
      </c>
    </row>
    <row r="340" spans="1:26" x14ac:dyDescent="0.35">
      <c r="A340" s="7">
        <v>1394</v>
      </c>
      <c r="B340" s="8">
        <v>41982</v>
      </c>
      <c r="C340" s="7">
        <v>9</v>
      </c>
      <c r="D340" s="7" t="s">
        <v>125</v>
      </c>
      <c r="E340" s="7" t="s">
        <v>126</v>
      </c>
      <c r="F340" s="7" t="s">
        <v>127</v>
      </c>
      <c r="G340" s="7" t="s">
        <v>128</v>
      </c>
      <c r="H340" s="7">
        <v>99999</v>
      </c>
      <c r="I340" s="7" t="s">
        <v>30</v>
      </c>
      <c r="J340" s="7" t="s">
        <v>129</v>
      </c>
      <c r="K340" s="7" t="s">
        <v>32</v>
      </c>
      <c r="L340" s="8">
        <v>41984</v>
      </c>
      <c r="M340" s="7" t="s">
        <v>46</v>
      </c>
      <c r="N340" s="7" t="s">
        <v>130</v>
      </c>
      <c r="O340" s="7" t="s">
        <v>126</v>
      </c>
      <c r="P340" s="7" t="s">
        <v>127</v>
      </c>
      <c r="Q340" s="7" t="s">
        <v>128</v>
      </c>
      <c r="R340" s="7">
        <v>99999</v>
      </c>
      <c r="S340" s="7" t="s">
        <v>30</v>
      </c>
      <c r="T340" s="7" t="s">
        <v>35</v>
      </c>
      <c r="U340" s="7" t="s">
        <v>131</v>
      </c>
      <c r="V340" s="7" t="s">
        <v>132</v>
      </c>
      <c r="W340" s="9">
        <v>19.5</v>
      </c>
      <c r="X340" s="7">
        <v>20</v>
      </c>
      <c r="Y340" s="10">
        <v>390</v>
      </c>
      <c r="Z340" s="9">
        <v>40.950000000000003</v>
      </c>
    </row>
    <row r="341" spans="1:26" x14ac:dyDescent="0.35">
      <c r="A341" s="7">
        <v>1395</v>
      </c>
      <c r="B341" s="8">
        <v>41982</v>
      </c>
      <c r="C341" s="7">
        <v>9</v>
      </c>
      <c r="D341" s="7" t="s">
        <v>125</v>
      </c>
      <c r="E341" s="7" t="s">
        <v>126</v>
      </c>
      <c r="F341" s="7" t="s">
        <v>127</v>
      </c>
      <c r="G341" s="7" t="s">
        <v>128</v>
      </c>
      <c r="H341" s="7">
        <v>99999</v>
      </c>
      <c r="I341" s="7" t="s">
        <v>30</v>
      </c>
      <c r="J341" s="7" t="s">
        <v>129</v>
      </c>
      <c r="K341" s="7" t="s">
        <v>32</v>
      </c>
      <c r="L341" s="8">
        <v>41984</v>
      </c>
      <c r="M341" s="7" t="s">
        <v>46</v>
      </c>
      <c r="N341" s="7" t="s">
        <v>130</v>
      </c>
      <c r="O341" s="7" t="s">
        <v>126</v>
      </c>
      <c r="P341" s="7" t="s">
        <v>127</v>
      </c>
      <c r="Q341" s="7" t="s">
        <v>128</v>
      </c>
      <c r="R341" s="7">
        <v>99999</v>
      </c>
      <c r="S341" s="7" t="s">
        <v>30</v>
      </c>
      <c r="T341" s="7" t="s">
        <v>35</v>
      </c>
      <c r="U341" s="7" t="s">
        <v>133</v>
      </c>
      <c r="V341" s="7" t="s">
        <v>134</v>
      </c>
      <c r="W341" s="9">
        <v>34.799999999999997</v>
      </c>
      <c r="X341" s="7">
        <v>69</v>
      </c>
      <c r="Y341" s="10">
        <v>2401.1999999999998</v>
      </c>
      <c r="Z341" s="9">
        <v>240.12</v>
      </c>
    </row>
    <row r="342" spans="1:26" x14ac:dyDescent="0.35">
      <c r="A342" s="7">
        <v>1396</v>
      </c>
      <c r="B342" s="8">
        <v>41979</v>
      </c>
      <c r="C342" s="7">
        <v>6</v>
      </c>
      <c r="D342" s="7" t="s">
        <v>82</v>
      </c>
      <c r="E342" s="7" t="s">
        <v>83</v>
      </c>
      <c r="F342" s="7" t="s">
        <v>84</v>
      </c>
      <c r="G342" s="7" t="s">
        <v>85</v>
      </c>
      <c r="H342" s="7">
        <v>99999</v>
      </c>
      <c r="I342" s="7" t="s">
        <v>30</v>
      </c>
      <c r="J342" s="7" t="s">
        <v>86</v>
      </c>
      <c r="K342" s="7" t="s">
        <v>61</v>
      </c>
      <c r="L342" s="8">
        <v>41981</v>
      </c>
      <c r="M342" s="7" t="s">
        <v>33</v>
      </c>
      <c r="N342" s="7" t="s">
        <v>87</v>
      </c>
      <c r="O342" s="7" t="s">
        <v>83</v>
      </c>
      <c r="P342" s="7" t="s">
        <v>84</v>
      </c>
      <c r="Q342" s="7" t="s">
        <v>85</v>
      </c>
      <c r="R342" s="7">
        <v>99999</v>
      </c>
      <c r="S342" s="7" t="s">
        <v>30</v>
      </c>
      <c r="T342" s="7" t="s">
        <v>48</v>
      </c>
      <c r="U342" s="7" t="s">
        <v>36</v>
      </c>
      <c r="V342" s="7" t="s">
        <v>37</v>
      </c>
      <c r="W342" s="9">
        <v>14</v>
      </c>
      <c r="X342" s="7">
        <v>68</v>
      </c>
      <c r="Y342" s="10">
        <v>952</v>
      </c>
      <c r="Z342" s="9">
        <v>91.391999999999996</v>
      </c>
    </row>
    <row r="343" spans="1:26" x14ac:dyDescent="0.35">
      <c r="A343" s="7">
        <v>1397</v>
      </c>
      <c r="B343" s="8">
        <v>41981</v>
      </c>
      <c r="C343" s="7">
        <v>8</v>
      </c>
      <c r="D343" s="7" t="s">
        <v>56</v>
      </c>
      <c r="E343" s="7" t="s">
        <v>57</v>
      </c>
      <c r="F343" s="7" t="s">
        <v>58</v>
      </c>
      <c r="G343" s="7" t="s">
        <v>59</v>
      </c>
      <c r="H343" s="7">
        <v>99999</v>
      </c>
      <c r="I343" s="7" t="s">
        <v>30</v>
      </c>
      <c r="J343" s="7" t="s">
        <v>60</v>
      </c>
      <c r="K343" s="7" t="s">
        <v>61</v>
      </c>
      <c r="L343" s="8">
        <v>41983</v>
      </c>
      <c r="M343" s="7" t="s">
        <v>33</v>
      </c>
      <c r="N343" s="7" t="s">
        <v>63</v>
      </c>
      <c r="O343" s="7" t="s">
        <v>57</v>
      </c>
      <c r="P343" s="7" t="s">
        <v>58</v>
      </c>
      <c r="Q343" s="7" t="s">
        <v>59</v>
      </c>
      <c r="R343" s="7">
        <v>99999</v>
      </c>
      <c r="S343" s="7" t="s">
        <v>30</v>
      </c>
      <c r="T343" s="7" t="s">
        <v>35</v>
      </c>
      <c r="U343" s="7" t="s">
        <v>88</v>
      </c>
      <c r="V343" s="7" t="s">
        <v>89</v>
      </c>
      <c r="W343" s="9">
        <v>40</v>
      </c>
      <c r="X343" s="7">
        <v>52</v>
      </c>
      <c r="Y343" s="10">
        <v>2080</v>
      </c>
      <c r="Z343" s="9">
        <v>203.84</v>
      </c>
    </row>
    <row r="344" spans="1:26" x14ac:dyDescent="0.35">
      <c r="A344" s="7">
        <v>1398</v>
      </c>
      <c r="B344" s="8">
        <v>41981</v>
      </c>
      <c r="C344" s="7">
        <v>8</v>
      </c>
      <c r="D344" s="7" t="s">
        <v>56</v>
      </c>
      <c r="E344" s="7" t="s">
        <v>57</v>
      </c>
      <c r="F344" s="7" t="s">
        <v>58</v>
      </c>
      <c r="G344" s="7" t="s">
        <v>59</v>
      </c>
      <c r="H344" s="7">
        <v>99999</v>
      </c>
      <c r="I344" s="7" t="s">
        <v>30</v>
      </c>
      <c r="J344" s="7" t="s">
        <v>60</v>
      </c>
      <c r="K344" s="7" t="s">
        <v>61</v>
      </c>
      <c r="L344" s="8">
        <v>41983</v>
      </c>
      <c r="M344" s="7" t="s">
        <v>33</v>
      </c>
      <c r="N344" s="7" t="s">
        <v>63</v>
      </c>
      <c r="O344" s="7" t="s">
        <v>57</v>
      </c>
      <c r="P344" s="7" t="s">
        <v>58</v>
      </c>
      <c r="Q344" s="7" t="s">
        <v>59</v>
      </c>
      <c r="R344" s="7">
        <v>99999</v>
      </c>
      <c r="S344" s="7" t="s">
        <v>30</v>
      </c>
      <c r="T344" s="7" t="s">
        <v>35</v>
      </c>
      <c r="U344" s="7" t="s">
        <v>64</v>
      </c>
      <c r="V344" s="7" t="s">
        <v>65</v>
      </c>
      <c r="W344" s="9">
        <v>9.1999999999999993</v>
      </c>
      <c r="X344" s="7">
        <v>40</v>
      </c>
      <c r="Y344" s="10">
        <v>368</v>
      </c>
      <c r="Z344" s="9">
        <v>38.640000000000008</v>
      </c>
    </row>
    <row r="345" spans="1:26" x14ac:dyDescent="0.35">
      <c r="A345" s="7">
        <v>1399</v>
      </c>
      <c r="B345" s="8">
        <v>41998</v>
      </c>
      <c r="C345" s="7">
        <v>25</v>
      </c>
      <c r="D345" s="7" t="s">
        <v>137</v>
      </c>
      <c r="E345" s="7" t="s">
        <v>138</v>
      </c>
      <c r="F345" s="7" t="s">
        <v>99</v>
      </c>
      <c r="G345" s="7" t="s">
        <v>100</v>
      </c>
      <c r="H345" s="7">
        <v>99999</v>
      </c>
      <c r="I345" s="7" t="s">
        <v>30</v>
      </c>
      <c r="J345" s="7" t="s">
        <v>101</v>
      </c>
      <c r="K345" s="7" t="s">
        <v>45</v>
      </c>
      <c r="L345" s="8">
        <v>42000</v>
      </c>
      <c r="M345" s="7" t="s">
        <v>46</v>
      </c>
      <c r="N345" s="7" t="s">
        <v>139</v>
      </c>
      <c r="O345" s="7" t="s">
        <v>138</v>
      </c>
      <c r="P345" s="7" t="s">
        <v>99</v>
      </c>
      <c r="Q345" s="7" t="s">
        <v>100</v>
      </c>
      <c r="R345" s="7">
        <v>99999</v>
      </c>
      <c r="S345" s="7" t="s">
        <v>30</v>
      </c>
      <c r="T345" s="7" t="s">
        <v>79</v>
      </c>
      <c r="U345" s="7" t="s">
        <v>146</v>
      </c>
      <c r="V345" s="7" t="s">
        <v>65</v>
      </c>
      <c r="W345" s="9">
        <v>10</v>
      </c>
      <c r="X345" s="7">
        <v>100</v>
      </c>
      <c r="Y345" s="10">
        <v>1000</v>
      </c>
      <c r="Z345" s="9">
        <v>98</v>
      </c>
    </row>
    <row r="346" spans="1:26" x14ac:dyDescent="0.35">
      <c r="A346" s="7">
        <v>1400</v>
      </c>
      <c r="B346" s="8">
        <v>41999</v>
      </c>
      <c r="C346" s="7">
        <v>26</v>
      </c>
      <c r="D346" s="7" t="s">
        <v>140</v>
      </c>
      <c r="E346" s="7" t="s">
        <v>141</v>
      </c>
      <c r="F346" s="7" t="s">
        <v>115</v>
      </c>
      <c r="G346" s="7" t="s">
        <v>116</v>
      </c>
      <c r="H346" s="7">
        <v>99999</v>
      </c>
      <c r="I346" s="7" t="s">
        <v>30</v>
      </c>
      <c r="J346" s="7" t="s">
        <v>94</v>
      </c>
      <c r="K346" s="7" t="s">
        <v>95</v>
      </c>
      <c r="L346" s="8">
        <v>42001</v>
      </c>
      <c r="M346" s="7" t="s">
        <v>62</v>
      </c>
      <c r="N346" s="7" t="s">
        <v>142</v>
      </c>
      <c r="O346" s="7" t="s">
        <v>141</v>
      </c>
      <c r="P346" s="7" t="s">
        <v>115</v>
      </c>
      <c r="Q346" s="7" t="s">
        <v>116</v>
      </c>
      <c r="R346" s="7">
        <v>99999</v>
      </c>
      <c r="S346" s="7" t="s">
        <v>30</v>
      </c>
      <c r="T346" s="7" t="s">
        <v>48</v>
      </c>
      <c r="U346" s="7" t="s">
        <v>147</v>
      </c>
      <c r="V346" s="7" t="s">
        <v>148</v>
      </c>
      <c r="W346" s="9">
        <v>21.35</v>
      </c>
      <c r="X346" s="7">
        <v>88</v>
      </c>
      <c r="Y346" s="10">
        <v>1878.8000000000002</v>
      </c>
      <c r="Z346" s="9">
        <v>184.12240000000003</v>
      </c>
    </row>
    <row r="347" spans="1:26" x14ac:dyDescent="0.35">
      <c r="A347" s="7">
        <v>1401</v>
      </c>
      <c r="B347" s="8">
        <v>41999</v>
      </c>
      <c r="C347" s="7">
        <v>26</v>
      </c>
      <c r="D347" s="7" t="s">
        <v>140</v>
      </c>
      <c r="E347" s="7" t="s">
        <v>141</v>
      </c>
      <c r="F347" s="7" t="s">
        <v>115</v>
      </c>
      <c r="G347" s="7" t="s">
        <v>116</v>
      </c>
      <c r="H347" s="7">
        <v>99999</v>
      </c>
      <c r="I347" s="7" t="s">
        <v>30</v>
      </c>
      <c r="J347" s="7" t="s">
        <v>94</v>
      </c>
      <c r="K347" s="7" t="s">
        <v>95</v>
      </c>
      <c r="L347" s="8">
        <v>42001</v>
      </c>
      <c r="M347" s="7" t="s">
        <v>62</v>
      </c>
      <c r="N347" s="7" t="s">
        <v>142</v>
      </c>
      <c r="O347" s="7" t="s">
        <v>141</v>
      </c>
      <c r="P347" s="7" t="s">
        <v>115</v>
      </c>
      <c r="Q347" s="7" t="s">
        <v>116</v>
      </c>
      <c r="R347" s="7">
        <v>99999</v>
      </c>
      <c r="S347" s="7" t="s">
        <v>30</v>
      </c>
      <c r="T347" s="7" t="s">
        <v>48</v>
      </c>
      <c r="U347" s="7" t="s">
        <v>80</v>
      </c>
      <c r="V347" s="7" t="s">
        <v>81</v>
      </c>
      <c r="W347" s="9">
        <v>9.65</v>
      </c>
      <c r="X347" s="7">
        <v>46</v>
      </c>
      <c r="Y347" s="10">
        <v>443.90000000000003</v>
      </c>
      <c r="Z347" s="9">
        <v>42.614400000000003</v>
      </c>
    </row>
    <row r="348" spans="1:26" x14ac:dyDescent="0.35">
      <c r="A348" s="7">
        <v>1402</v>
      </c>
      <c r="B348" s="8">
        <v>41999</v>
      </c>
      <c r="C348" s="7">
        <v>26</v>
      </c>
      <c r="D348" s="7" t="s">
        <v>140</v>
      </c>
      <c r="E348" s="7" t="s">
        <v>141</v>
      </c>
      <c r="F348" s="7" t="s">
        <v>115</v>
      </c>
      <c r="G348" s="7" t="s">
        <v>116</v>
      </c>
      <c r="H348" s="7">
        <v>99999</v>
      </c>
      <c r="I348" s="7" t="s">
        <v>30</v>
      </c>
      <c r="J348" s="7" t="s">
        <v>94</v>
      </c>
      <c r="K348" s="7" t="s">
        <v>95</v>
      </c>
      <c r="L348" s="8">
        <v>42001</v>
      </c>
      <c r="M348" s="7" t="s">
        <v>62</v>
      </c>
      <c r="N348" s="7" t="s">
        <v>142</v>
      </c>
      <c r="O348" s="7" t="s">
        <v>141</v>
      </c>
      <c r="P348" s="7" t="s">
        <v>115</v>
      </c>
      <c r="Q348" s="7" t="s">
        <v>116</v>
      </c>
      <c r="R348" s="7">
        <v>99999</v>
      </c>
      <c r="S348" s="7" t="s">
        <v>30</v>
      </c>
      <c r="T348" s="7" t="s">
        <v>48</v>
      </c>
      <c r="U348" s="7" t="s">
        <v>123</v>
      </c>
      <c r="V348" s="7" t="s">
        <v>124</v>
      </c>
      <c r="W348" s="9">
        <v>18.399999999999999</v>
      </c>
      <c r="X348" s="7">
        <v>93</v>
      </c>
      <c r="Y348" s="10">
        <v>1711.1999999999998</v>
      </c>
      <c r="Z348" s="9">
        <v>167.69759999999999</v>
      </c>
    </row>
    <row r="349" spans="1:26" x14ac:dyDescent="0.35">
      <c r="A349" s="7">
        <v>1403</v>
      </c>
      <c r="B349" s="8">
        <v>42002</v>
      </c>
      <c r="C349" s="7">
        <v>29</v>
      </c>
      <c r="D349" s="7" t="s">
        <v>66</v>
      </c>
      <c r="E349" s="7" t="s">
        <v>67</v>
      </c>
      <c r="F349" s="7" t="s">
        <v>68</v>
      </c>
      <c r="G349" s="7" t="s">
        <v>69</v>
      </c>
      <c r="H349" s="7">
        <v>99999</v>
      </c>
      <c r="I349" s="7" t="s">
        <v>30</v>
      </c>
      <c r="J349" s="7" t="s">
        <v>70</v>
      </c>
      <c r="K349" s="7" t="s">
        <v>32</v>
      </c>
      <c r="L349" s="8">
        <v>42004</v>
      </c>
      <c r="M349" s="7" t="s">
        <v>33</v>
      </c>
      <c r="N349" s="7" t="s">
        <v>71</v>
      </c>
      <c r="O349" s="7" t="s">
        <v>67</v>
      </c>
      <c r="P349" s="7" t="s">
        <v>68</v>
      </c>
      <c r="Q349" s="7" t="s">
        <v>69</v>
      </c>
      <c r="R349" s="7">
        <v>99999</v>
      </c>
      <c r="S349" s="7" t="s">
        <v>30</v>
      </c>
      <c r="T349" s="7" t="s">
        <v>35</v>
      </c>
      <c r="U349" s="7" t="s">
        <v>36</v>
      </c>
      <c r="V349" s="7" t="s">
        <v>37</v>
      </c>
      <c r="W349" s="9">
        <v>14</v>
      </c>
      <c r="X349" s="7">
        <v>96</v>
      </c>
      <c r="Y349" s="10">
        <v>1344</v>
      </c>
      <c r="Z349" s="9">
        <v>141.12</v>
      </c>
    </row>
    <row r="350" spans="1:26" x14ac:dyDescent="0.35">
      <c r="A350" s="7">
        <v>1404</v>
      </c>
      <c r="B350" s="8">
        <v>41979</v>
      </c>
      <c r="C350" s="7">
        <v>6</v>
      </c>
      <c r="D350" s="7" t="s">
        <v>82</v>
      </c>
      <c r="E350" s="7" t="s">
        <v>83</v>
      </c>
      <c r="F350" s="7" t="s">
        <v>84</v>
      </c>
      <c r="G350" s="7" t="s">
        <v>85</v>
      </c>
      <c r="H350" s="7">
        <v>99999</v>
      </c>
      <c r="I350" s="7" t="s">
        <v>30</v>
      </c>
      <c r="J350" s="7" t="s">
        <v>86</v>
      </c>
      <c r="K350" s="7" t="s">
        <v>61</v>
      </c>
      <c r="L350" s="8">
        <v>41981</v>
      </c>
      <c r="M350" s="7" t="s">
        <v>62</v>
      </c>
      <c r="N350" s="7" t="s">
        <v>87</v>
      </c>
      <c r="O350" s="7" t="s">
        <v>83</v>
      </c>
      <c r="P350" s="7" t="s">
        <v>84</v>
      </c>
      <c r="Q350" s="7" t="s">
        <v>85</v>
      </c>
      <c r="R350" s="7">
        <v>99999</v>
      </c>
      <c r="S350" s="7" t="s">
        <v>30</v>
      </c>
      <c r="T350" s="7" t="s">
        <v>35</v>
      </c>
      <c r="U350" s="7" t="s">
        <v>72</v>
      </c>
      <c r="V350" s="7" t="s">
        <v>73</v>
      </c>
      <c r="W350" s="7">
        <v>12.75</v>
      </c>
      <c r="X350" s="7">
        <v>12</v>
      </c>
      <c r="Y350" s="10">
        <v>153</v>
      </c>
      <c r="Z350" s="9">
        <v>16.065000000000001</v>
      </c>
    </row>
    <row r="351" spans="1:26" x14ac:dyDescent="0.35">
      <c r="A351" s="7">
        <v>1406</v>
      </c>
      <c r="B351" s="8">
        <v>41977</v>
      </c>
      <c r="C351" s="7">
        <v>4</v>
      </c>
      <c r="D351" s="7" t="s">
        <v>40</v>
      </c>
      <c r="E351" s="7" t="s">
        <v>41</v>
      </c>
      <c r="F351" s="7" t="s">
        <v>42</v>
      </c>
      <c r="G351" s="7" t="s">
        <v>43</v>
      </c>
      <c r="H351" s="7">
        <v>99999</v>
      </c>
      <c r="I351" s="7" t="s">
        <v>30</v>
      </c>
      <c r="J351" s="7" t="s">
        <v>44</v>
      </c>
      <c r="K351" s="7" t="s">
        <v>45</v>
      </c>
      <c r="L351" s="8">
        <v>41979</v>
      </c>
      <c r="M351" s="7" t="s">
        <v>46</v>
      </c>
      <c r="N351" s="7" t="s">
        <v>47</v>
      </c>
      <c r="O351" s="7" t="s">
        <v>41</v>
      </c>
      <c r="P351" s="7" t="s">
        <v>42</v>
      </c>
      <c r="Q351" s="7" t="s">
        <v>43</v>
      </c>
      <c r="R351" s="7">
        <v>99999</v>
      </c>
      <c r="S351" s="7" t="s">
        <v>30</v>
      </c>
      <c r="T351" s="7" t="s">
        <v>48</v>
      </c>
      <c r="U351" s="7" t="s">
        <v>149</v>
      </c>
      <c r="V351" s="7" t="s">
        <v>110</v>
      </c>
      <c r="W351" s="7">
        <v>81</v>
      </c>
      <c r="X351" s="7">
        <v>38</v>
      </c>
      <c r="Y351" s="10">
        <v>3078</v>
      </c>
      <c r="Z351" s="9">
        <v>292.41000000000003</v>
      </c>
    </row>
    <row r="352" spans="1:26" x14ac:dyDescent="0.35">
      <c r="A352" s="7">
        <v>1407</v>
      </c>
      <c r="B352" s="8">
        <v>41977</v>
      </c>
      <c r="C352" s="7">
        <v>4</v>
      </c>
      <c r="D352" s="7" t="s">
        <v>40</v>
      </c>
      <c r="E352" s="7" t="s">
        <v>41</v>
      </c>
      <c r="F352" s="7" t="s">
        <v>42</v>
      </c>
      <c r="G352" s="7" t="s">
        <v>43</v>
      </c>
      <c r="H352" s="7">
        <v>99999</v>
      </c>
      <c r="I352" s="7" t="s">
        <v>30</v>
      </c>
      <c r="J352" s="7" t="s">
        <v>44</v>
      </c>
      <c r="K352" s="7" t="s">
        <v>45</v>
      </c>
      <c r="L352" s="8">
        <v>41979</v>
      </c>
      <c r="M352" s="7" t="s">
        <v>46</v>
      </c>
      <c r="N352" s="7" t="s">
        <v>47</v>
      </c>
      <c r="O352" s="7" t="s">
        <v>41</v>
      </c>
      <c r="P352" s="7" t="s">
        <v>42</v>
      </c>
      <c r="Q352" s="7" t="s">
        <v>43</v>
      </c>
      <c r="R352" s="7">
        <v>99999</v>
      </c>
      <c r="S352" s="7" t="s">
        <v>30</v>
      </c>
      <c r="T352" s="7" t="s">
        <v>48</v>
      </c>
      <c r="U352" s="7" t="s">
        <v>150</v>
      </c>
      <c r="V352" s="7" t="s">
        <v>151</v>
      </c>
      <c r="W352" s="7">
        <v>7</v>
      </c>
      <c r="X352" s="7">
        <v>42</v>
      </c>
      <c r="Y352" s="10">
        <v>294</v>
      </c>
      <c r="Z352" s="9">
        <v>29.106000000000002</v>
      </c>
    </row>
    <row r="353" spans="1:26" x14ac:dyDescent="0.35">
      <c r="A353" s="7">
        <v>1409</v>
      </c>
      <c r="B353" s="8">
        <v>41981</v>
      </c>
      <c r="C353" s="7">
        <v>8</v>
      </c>
      <c r="D353" s="7" t="s">
        <v>56</v>
      </c>
      <c r="E353" s="7" t="s">
        <v>57</v>
      </c>
      <c r="F353" s="7" t="s">
        <v>58</v>
      </c>
      <c r="G353" s="7" t="s">
        <v>59</v>
      </c>
      <c r="H353" s="7">
        <v>99999</v>
      </c>
      <c r="I353" s="7" t="s">
        <v>30</v>
      </c>
      <c r="J353" s="7" t="s">
        <v>60</v>
      </c>
      <c r="K353" s="7" t="s">
        <v>61</v>
      </c>
      <c r="L353" s="8">
        <v>41983</v>
      </c>
      <c r="M353" s="7" t="s">
        <v>62</v>
      </c>
      <c r="N353" s="7" t="s">
        <v>63</v>
      </c>
      <c r="O353" s="7" t="s">
        <v>57</v>
      </c>
      <c r="P353" s="7" t="s">
        <v>58</v>
      </c>
      <c r="Q353" s="7" t="s">
        <v>59</v>
      </c>
      <c r="R353" s="7">
        <v>99999</v>
      </c>
      <c r="S353" s="7" t="s">
        <v>30</v>
      </c>
      <c r="T353" s="7" t="s">
        <v>48</v>
      </c>
      <c r="U353" s="7" t="s">
        <v>133</v>
      </c>
      <c r="V353" s="7" t="s">
        <v>134</v>
      </c>
      <c r="W353" s="7">
        <v>34.799999999999997</v>
      </c>
      <c r="X353" s="7">
        <v>100</v>
      </c>
      <c r="Y353" s="10">
        <v>3479.9999999999995</v>
      </c>
      <c r="Z353" s="9">
        <v>344.52</v>
      </c>
    </row>
    <row r="354" spans="1:26" x14ac:dyDescent="0.35">
      <c r="A354" s="7">
        <v>1412</v>
      </c>
      <c r="B354" s="8">
        <v>41976</v>
      </c>
      <c r="C354" s="7">
        <v>3</v>
      </c>
      <c r="D354" s="7" t="s">
        <v>74</v>
      </c>
      <c r="E354" s="7" t="s">
        <v>75</v>
      </c>
      <c r="F354" s="7" t="s">
        <v>76</v>
      </c>
      <c r="G354" s="7" t="s">
        <v>77</v>
      </c>
      <c r="H354" s="7">
        <v>99999</v>
      </c>
      <c r="I354" s="7" t="s">
        <v>30</v>
      </c>
      <c r="J354" s="7" t="s">
        <v>31</v>
      </c>
      <c r="K354" s="7" t="s">
        <v>32</v>
      </c>
      <c r="L354" s="8">
        <v>41978</v>
      </c>
      <c r="M354" s="7" t="s">
        <v>33</v>
      </c>
      <c r="N354" s="7" t="s">
        <v>78</v>
      </c>
      <c r="O354" s="7" t="s">
        <v>75</v>
      </c>
      <c r="P354" s="7" t="s">
        <v>76</v>
      </c>
      <c r="Q354" s="7" t="s">
        <v>77</v>
      </c>
      <c r="R354" s="7">
        <v>99999</v>
      </c>
      <c r="S354" s="7" t="s">
        <v>30</v>
      </c>
      <c r="T354" s="7" t="s">
        <v>79</v>
      </c>
      <c r="U354" s="7" t="s">
        <v>135</v>
      </c>
      <c r="V354" s="7" t="s">
        <v>112</v>
      </c>
      <c r="W354" s="7">
        <v>10</v>
      </c>
      <c r="X354" s="7">
        <v>89</v>
      </c>
      <c r="Y354" s="10">
        <v>890</v>
      </c>
      <c r="Z354" s="9">
        <v>87.22</v>
      </c>
    </row>
    <row r="355" spans="1:26" x14ac:dyDescent="0.35">
      <c r="A355" s="7">
        <v>1413</v>
      </c>
      <c r="B355" s="8">
        <v>41976</v>
      </c>
      <c r="C355" s="7">
        <v>3</v>
      </c>
      <c r="D355" s="7" t="s">
        <v>74</v>
      </c>
      <c r="E355" s="7" t="s">
        <v>75</v>
      </c>
      <c r="F355" s="7" t="s">
        <v>76</v>
      </c>
      <c r="G355" s="7" t="s">
        <v>77</v>
      </c>
      <c r="H355" s="7">
        <v>99999</v>
      </c>
      <c r="I355" s="7" t="s">
        <v>30</v>
      </c>
      <c r="J355" s="7" t="s">
        <v>31</v>
      </c>
      <c r="K355" s="7" t="s">
        <v>32</v>
      </c>
      <c r="L355" s="8">
        <v>41978</v>
      </c>
      <c r="M355" s="7" t="s">
        <v>33</v>
      </c>
      <c r="N355" s="7" t="s">
        <v>78</v>
      </c>
      <c r="O355" s="7" t="s">
        <v>75</v>
      </c>
      <c r="P355" s="7" t="s">
        <v>76</v>
      </c>
      <c r="Q355" s="7" t="s">
        <v>77</v>
      </c>
      <c r="R355" s="7">
        <v>99999</v>
      </c>
      <c r="S355" s="7" t="s">
        <v>30</v>
      </c>
      <c r="T355" s="7" t="s">
        <v>79</v>
      </c>
      <c r="U355" s="7" t="s">
        <v>88</v>
      </c>
      <c r="V355" s="7" t="s">
        <v>89</v>
      </c>
      <c r="W355" s="7">
        <v>40</v>
      </c>
      <c r="X355" s="7">
        <v>12</v>
      </c>
      <c r="Y355" s="10">
        <v>480</v>
      </c>
      <c r="Z355" s="9">
        <v>46.56</v>
      </c>
    </row>
    <row r="356" spans="1:26" x14ac:dyDescent="0.35">
      <c r="A356" s="7">
        <v>1417</v>
      </c>
      <c r="B356" s="8">
        <v>41983</v>
      </c>
      <c r="C356" s="7">
        <v>10</v>
      </c>
      <c r="D356" s="7" t="s">
        <v>97</v>
      </c>
      <c r="E356" s="7" t="s">
        <v>98</v>
      </c>
      <c r="F356" s="7" t="s">
        <v>99</v>
      </c>
      <c r="G356" s="7" t="s">
        <v>100</v>
      </c>
      <c r="H356" s="7">
        <v>99999</v>
      </c>
      <c r="I356" s="7" t="s">
        <v>30</v>
      </c>
      <c r="J356" s="7" t="s">
        <v>101</v>
      </c>
      <c r="K356" s="7" t="s">
        <v>45</v>
      </c>
      <c r="L356" s="8">
        <v>41985</v>
      </c>
      <c r="M356" s="7" t="s">
        <v>33</v>
      </c>
      <c r="N356" s="7" t="s">
        <v>102</v>
      </c>
      <c r="O356" s="7" t="s">
        <v>98</v>
      </c>
      <c r="P356" s="7" t="s">
        <v>99</v>
      </c>
      <c r="Q356" s="7" t="s">
        <v>100</v>
      </c>
      <c r="R356" s="7">
        <v>99999</v>
      </c>
      <c r="S356" s="7" t="s">
        <v>30</v>
      </c>
      <c r="T356" s="7" t="s">
        <v>48</v>
      </c>
      <c r="U356" s="7" t="s">
        <v>136</v>
      </c>
      <c r="V356" s="7" t="s">
        <v>39</v>
      </c>
      <c r="W356" s="7">
        <v>10</v>
      </c>
      <c r="X356" s="7">
        <v>97</v>
      </c>
      <c r="Y356" s="10">
        <v>970</v>
      </c>
      <c r="Z356" s="9">
        <v>100.88000000000001</v>
      </c>
    </row>
    <row r="357" spans="1:26" x14ac:dyDescent="0.35">
      <c r="A357" s="7">
        <v>1419</v>
      </c>
      <c r="B357" s="8">
        <v>41983</v>
      </c>
      <c r="C357" s="7">
        <v>10</v>
      </c>
      <c r="D357" s="7" t="s">
        <v>97</v>
      </c>
      <c r="E357" s="7" t="s">
        <v>98</v>
      </c>
      <c r="F357" s="7" t="s">
        <v>99</v>
      </c>
      <c r="G357" s="7" t="s">
        <v>100</v>
      </c>
      <c r="H357" s="7">
        <v>99999</v>
      </c>
      <c r="I357" s="7" t="s">
        <v>30</v>
      </c>
      <c r="J357" s="7" t="s">
        <v>101</v>
      </c>
      <c r="K357" s="7" t="s">
        <v>45</v>
      </c>
      <c r="L357" s="8"/>
      <c r="M357" s="7" t="s">
        <v>46</v>
      </c>
      <c r="N357" s="7" t="s">
        <v>102</v>
      </c>
      <c r="O357" s="7" t="s">
        <v>98</v>
      </c>
      <c r="P357" s="7" t="s">
        <v>99</v>
      </c>
      <c r="Q357" s="7" t="s">
        <v>100</v>
      </c>
      <c r="R357" s="7">
        <v>99999</v>
      </c>
      <c r="S357" s="7" t="s">
        <v>30</v>
      </c>
      <c r="U357" s="7" t="s">
        <v>38</v>
      </c>
      <c r="V357" s="7" t="s">
        <v>39</v>
      </c>
      <c r="W357" s="7">
        <v>3.5</v>
      </c>
      <c r="X357" s="7">
        <v>53</v>
      </c>
      <c r="Y357" s="10">
        <v>185.5</v>
      </c>
      <c r="Z357" s="9">
        <v>17.622499999999999</v>
      </c>
    </row>
    <row r="358" spans="1:26" x14ac:dyDescent="0.35">
      <c r="A358" s="7">
        <v>1420</v>
      </c>
      <c r="B358" s="8">
        <v>41984</v>
      </c>
      <c r="C358" s="7">
        <v>11</v>
      </c>
      <c r="D358" s="7" t="s">
        <v>113</v>
      </c>
      <c r="E358" s="7" t="s">
        <v>114</v>
      </c>
      <c r="F358" s="7" t="s">
        <v>115</v>
      </c>
      <c r="G358" s="7" t="s">
        <v>116</v>
      </c>
      <c r="H358" s="7">
        <v>99999</v>
      </c>
      <c r="I358" s="7" t="s">
        <v>30</v>
      </c>
      <c r="J358" s="7" t="s">
        <v>94</v>
      </c>
      <c r="K358" s="7" t="s">
        <v>95</v>
      </c>
      <c r="L358" s="8"/>
      <c r="M358" s="7" t="s">
        <v>62</v>
      </c>
      <c r="N358" s="7" t="s">
        <v>117</v>
      </c>
      <c r="O358" s="7" t="s">
        <v>114</v>
      </c>
      <c r="P358" s="7" t="s">
        <v>115</v>
      </c>
      <c r="Q358" s="7" t="s">
        <v>116</v>
      </c>
      <c r="R358" s="7">
        <v>99999</v>
      </c>
      <c r="S358" s="7" t="s">
        <v>30</v>
      </c>
      <c r="U358" s="7" t="s">
        <v>88</v>
      </c>
      <c r="V358" s="7" t="s">
        <v>89</v>
      </c>
      <c r="W358" s="7">
        <v>40</v>
      </c>
      <c r="X358" s="7">
        <v>61</v>
      </c>
      <c r="Y358" s="10">
        <v>2440</v>
      </c>
      <c r="Z358" s="9">
        <v>248.88</v>
      </c>
    </row>
    <row r="359" spans="1:26" x14ac:dyDescent="0.35">
      <c r="A359" s="7">
        <v>1421</v>
      </c>
      <c r="B359" s="8">
        <v>41974</v>
      </c>
      <c r="C359" s="7">
        <v>1</v>
      </c>
      <c r="D359" s="7" t="s">
        <v>118</v>
      </c>
      <c r="E359" s="7" t="s">
        <v>119</v>
      </c>
      <c r="F359" s="7" t="s">
        <v>120</v>
      </c>
      <c r="G359" s="7" t="s">
        <v>121</v>
      </c>
      <c r="H359" s="7">
        <v>99999</v>
      </c>
      <c r="I359" s="7" t="s">
        <v>30</v>
      </c>
      <c r="J359" s="7" t="s">
        <v>60</v>
      </c>
      <c r="K359" s="7" t="s">
        <v>61</v>
      </c>
      <c r="L359" s="8"/>
      <c r="M359" s="7" t="s">
        <v>62</v>
      </c>
      <c r="N359" s="7" t="s">
        <v>122</v>
      </c>
      <c r="O359" s="7" t="s">
        <v>119</v>
      </c>
      <c r="P359" s="7" t="s">
        <v>120</v>
      </c>
      <c r="Q359" s="7" t="s">
        <v>121</v>
      </c>
      <c r="R359" s="7">
        <v>99999</v>
      </c>
      <c r="S359" s="7" t="s">
        <v>30</v>
      </c>
      <c r="U359" s="7" t="s">
        <v>123</v>
      </c>
      <c r="V359" s="7" t="s">
        <v>124</v>
      </c>
      <c r="W359" s="7">
        <v>18.399999999999999</v>
      </c>
      <c r="X359" s="7">
        <v>45</v>
      </c>
      <c r="Y359" s="10">
        <v>827.99999999999989</v>
      </c>
      <c r="Z359" s="9">
        <v>81.143999999999991</v>
      </c>
    </row>
    <row r="360" spans="1:26" x14ac:dyDescent="0.35">
      <c r="A360" s="7">
        <v>1422</v>
      </c>
      <c r="B360" s="8">
        <v>42001</v>
      </c>
      <c r="C360" s="7">
        <v>28</v>
      </c>
      <c r="D360" s="7" t="s">
        <v>90</v>
      </c>
      <c r="E360" s="7" t="s">
        <v>91</v>
      </c>
      <c r="F360" s="7" t="s">
        <v>92</v>
      </c>
      <c r="G360" s="7" t="s">
        <v>93</v>
      </c>
      <c r="H360" s="7">
        <v>99999</v>
      </c>
      <c r="I360" s="7" t="s">
        <v>30</v>
      </c>
      <c r="J360" s="7" t="s">
        <v>94</v>
      </c>
      <c r="K360" s="7" t="s">
        <v>95</v>
      </c>
      <c r="L360" s="8">
        <v>42003</v>
      </c>
      <c r="M360" s="7" t="s">
        <v>62</v>
      </c>
      <c r="N360" s="7" t="s">
        <v>96</v>
      </c>
      <c r="O360" s="7" t="s">
        <v>91</v>
      </c>
      <c r="P360" s="7" t="s">
        <v>92</v>
      </c>
      <c r="Q360" s="7" t="s">
        <v>93</v>
      </c>
      <c r="R360" s="7">
        <v>99999</v>
      </c>
      <c r="S360" s="7" t="s">
        <v>30</v>
      </c>
      <c r="T360" s="7" t="s">
        <v>48</v>
      </c>
      <c r="U360" s="7" t="s">
        <v>55</v>
      </c>
      <c r="V360" s="7" t="s">
        <v>37</v>
      </c>
      <c r="W360" s="7">
        <v>46</v>
      </c>
      <c r="X360" s="7">
        <v>43</v>
      </c>
      <c r="Y360" s="10">
        <v>1978</v>
      </c>
      <c r="Z360" s="9">
        <v>197.8</v>
      </c>
    </row>
    <row r="361" spans="1:26" x14ac:dyDescent="0.35">
      <c r="A361" s="7">
        <v>1423</v>
      </c>
      <c r="B361" s="8">
        <v>41982</v>
      </c>
      <c r="C361" s="7">
        <v>9</v>
      </c>
      <c r="D361" s="7" t="s">
        <v>125</v>
      </c>
      <c r="E361" s="7" t="s">
        <v>126</v>
      </c>
      <c r="F361" s="7" t="s">
        <v>127</v>
      </c>
      <c r="G361" s="7" t="s">
        <v>128</v>
      </c>
      <c r="H361" s="7">
        <v>99999</v>
      </c>
      <c r="I361" s="7" t="s">
        <v>30</v>
      </c>
      <c r="J361" s="7" t="s">
        <v>129</v>
      </c>
      <c r="K361" s="7" t="s">
        <v>32</v>
      </c>
      <c r="L361" s="8">
        <v>41984</v>
      </c>
      <c r="M361" s="7" t="s">
        <v>46</v>
      </c>
      <c r="N361" s="7" t="s">
        <v>130</v>
      </c>
      <c r="O361" s="7" t="s">
        <v>126</v>
      </c>
      <c r="P361" s="7" t="s">
        <v>127</v>
      </c>
      <c r="Q361" s="7" t="s">
        <v>128</v>
      </c>
      <c r="R361" s="7">
        <v>99999</v>
      </c>
      <c r="S361" s="7" t="s">
        <v>30</v>
      </c>
      <c r="T361" s="7" t="s">
        <v>35</v>
      </c>
      <c r="U361" s="7" t="s">
        <v>80</v>
      </c>
      <c r="V361" s="7" t="s">
        <v>81</v>
      </c>
      <c r="W361" s="7">
        <v>9.65</v>
      </c>
      <c r="X361" s="7">
        <v>18</v>
      </c>
      <c r="Y361" s="10">
        <v>173.70000000000002</v>
      </c>
      <c r="Z361" s="9">
        <v>16.5015</v>
      </c>
    </row>
    <row r="362" spans="1:26" x14ac:dyDescent="0.35">
      <c r="A362" s="7">
        <v>1424</v>
      </c>
      <c r="B362" s="8">
        <v>41979</v>
      </c>
      <c r="C362" s="7">
        <v>6</v>
      </c>
      <c r="D362" s="7" t="s">
        <v>82</v>
      </c>
      <c r="E362" s="7" t="s">
        <v>83</v>
      </c>
      <c r="F362" s="7" t="s">
        <v>84</v>
      </c>
      <c r="G362" s="7" t="s">
        <v>85</v>
      </c>
      <c r="H362" s="7">
        <v>99999</v>
      </c>
      <c r="I362" s="7" t="s">
        <v>30</v>
      </c>
      <c r="J362" s="7" t="s">
        <v>86</v>
      </c>
      <c r="K362" s="7" t="s">
        <v>61</v>
      </c>
      <c r="L362" s="8">
        <v>41981</v>
      </c>
      <c r="M362" s="7" t="s">
        <v>33</v>
      </c>
      <c r="N362" s="7" t="s">
        <v>87</v>
      </c>
      <c r="O362" s="7" t="s">
        <v>83</v>
      </c>
      <c r="P362" s="7" t="s">
        <v>84</v>
      </c>
      <c r="Q362" s="7" t="s">
        <v>85</v>
      </c>
      <c r="R362" s="7">
        <v>99999</v>
      </c>
      <c r="S362" s="7" t="s">
        <v>30</v>
      </c>
      <c r="T362" s="7" t="s">
        <v>48</v>
      </c>
      <c r="U362" s="7" t="s">
        <v>72</v>
      </c>
      <c r="V362" s="7" t="s">
        <v>73</v>
      </c>
      <c r="W362" s="7">
        <v>12.75</v>
      </c>
      <c r="X362" s="7">
        <v>41</v>
      </c>
      <c r="Y362" s="10">
        <v>522.75</v>
      </c>
      <c r="Z362" s="9">
        <v>50.706750000000007</v>
      </c>
    </row>
    <row r="363" spans="1:26" x14ac:dyDescent="0.35">
      <c r="A363" s="7">
        <v>1425</v>
      </c>
      <c r="B363" s="8">
        <v>41981</v>
      </c>
      <c r="C363" s="7">
        <v>8</v>
      </c>
      <c r="D363" s="7" t="s">
        <v>56</v>
      </c>
      <c r="E363" s="7" t="s">
        <v>57</v>
      </c>
      <c r="F363" s="7" t="s">
        <v>58</v>
      </c>
      <c r="G363" s="7" t="s">
        <v>59</v>
      </c>
      <c r="H363" s="7">
        <v>99999</v>
      </c>
      <c r="I363" s="7" t="s">
        <v>30</v>
      </c>
      <c r="J363" s="7" t="s">
        <v>60</v>
      </c>
      <c r="K363" s="7" t="s">
        <v>61</v>
      </c>
      <c r="L363" s="7">
        <v>41983</v>
      </c>
      <c r="M363" s="7" t="s">
        <v>33</v>
      </c>
      <c r="N363" s="7" t="s">
        <v>63</v>
      </c>
      <c r="O363" s="7" t="s">
        <v>57</v>
      </c>
      <c r="P363" s="7" t="s">
        <v>58</v>
      </c>
      <c r="Q363" s="7" t="s">
        <v>59</v>
      </c>
      <c r="R363" s="7">
        <v>99999</v>
      </c>
      <c r="S363" s="7" t="s">
        <v>30</v>
      </c>
      <c r="T363" s="7" t="s">
        <v>35</v>
      </c>
      <c r="U363" s="7" t="s">
        <v>72</v>
      </c>
      <c r="V363" s="7" t="s">
        <v>73</v>
      </c>
      <c r="W363" s="7">
        <v>12.75</v>
      </c>
      <c r="X363" s="7">
        <v>19</v>
      </c>
      <c r="Y363" s="10">
        <v>242.25</v>
      </c>
      <c r="Z363" s="9">
        <v>23.982750000000003</v>
      </c>
    </row>
    <row r="364" spans="1:26" x14ac:dyDescent="0.35">
      <c r="A364" s="7">
        <v>1426</v>
      </c>
      <c r="B364" s="8">
        <v>41998</v>
      </c>
      <c r="C364" s="7">
        <v>25</v>
      </c>
      <c r="D364" s="7" t="s">
        <v>137</v>
      </c>
      <c r="E364" s="7" t="s">
        <v>138</v>
      </c>
      <c r="F364" s="7" t="s">
        <v>99</v>
      </c>
      <c r="G364" s="7" t="s">
        <v>100</v>
      </c>
      <c r="H364" s="7">
        <v>99999</v>
      </c>
      <c r="I364" s="7" t="s">
        <v>30</v>
      </c>
      <c r="J364" s="7" t="s">
        <v>101</v>
      </c>
      <c r="K364" s="7" t="s">
        <v>45</v>
      </c>
      <c r="L364" s="7">
        <v>42000</v>
      </c>
      <c r="M364" s="7" t="s">
        <v>46</v>
      </c>
      <c r="N364" s="7" t="s">
        <v>139</v>
      </c>
      <c r="O364" s="7" t="s">
        <v>138</v>
      </c>
      <c r="P364" s="7" t="s">
        <v>99</v>
      </c>
      <c r="Q364" s="7" t="s">
        <v>100</v>
      </c>
      <c r="R364" s="7">
        <v>99999</v>
      </c>
      <c r="S364" s="7" t="s">
        <v>30</v>
      </c>
      <c r="T364" s="7" t="s">
        <v>79</v>
      </c>
      <c r="U364" s="7" t="s">
        <v>111</v>
      </c>
      <c r="V364" s="7" t="s">
        <v>112</v>
      </c>
      <c r="W364" s="7">
        <v>22</v>
      </c>
      <c r="X364" s="7">
        <v>65</v>
      </c>
      <c r="Y364" s="10">
        <v>1430</v>
      </c>
      <c r="Z364" s="9">
        <v>138.71</v>
      </c>
    </row>
    <row r="365" spans="1:26" x14ac:dyDescent="0.35">
      <c r="A365" s="7">
        <v>1427</v>
      </c>
      <c r="B365" s="8">
        <v>41999</v>
      </c>
      <c r="C365" s="7">
        <v>26</v>
      </c>
      <c r="D365" s="7" t="s">
        <v>140</v>
      </c>
      <c r="E365" s="7" t="s">
        <v>141</v>
      </c>
      <c r="F365" s="7" t="s">
        <v>115</v>
      </c>
      <c r="G365" s="7" t="s">
        <v>116</v>
      </c>
      <c r="H365" s="7">
        <v>99999</v>
      </c>
      <c r="I365" s="7" t="s">
        <v>30</v>
      </c>
      <c r="J365" s="7" t="s">
        <v>94</v>
      </c>
      <c r="K365" s="7" t="s">
        <v>95</v>
      </c>
      <c r="L365" s="7">
        <v>42001</v>
      </c>
      <c r="M365" s="7" t="s">
        <v>62</v>
      </c>
      <c r="N365" s="7" t="s">
        <v>142</v>
      </c>
      <c r="O365" s="7" t="s">
        <v>141</v>
      </c>
      <c r="P365" s="7" t="s">
        <v>115</v>
      </c>
      <c r="Q365" s="7" t="s">
        <v>116</v>
      </c>
      <c r="R365" s="7">
        <v>99999</v>
      </c>
      <c r="S365" s="7" t="s">
        <v>30</v>
      </c>
      <c r="T365" s="7" t="s">
        <v>48</v>
      </c>
      <c r="U365" s="7" t="s">
        <v>109</v>
      </c>
      <c r="V365" s="7" t="s">
        <v>110</v>
      </c>
      <c r="W365" s="7">
        <v>25</v>
      </c>
      <c r="X365" s="7">
        <v>13</v>
      </c>
      <c r="Y365" s="10">
        <v>325</v>
      </c>
      <c r="Z365" s="9">
        <v>32.174999999999997</v>
      </c>
    </row>
    <row r="366" spans="1:26" x14ac:dyDescent="0.35">
      <c r="A366" s="7">
        <v>1428</v>
      </c>
      <c r="B366" s="8">
        <v>42002</v>
      </c>
      <c r="C366" s="7">
        <v>29</v>
      </c>
      <c r="D366" s="7" t="s">
        <v>66</v>
      </c>
      <c r="E366" s="7" t="s">
        <v>67</v>
      </c>
      <c r="F366" s="7" t="s">
        <v>68</v>
      </c>
      <c r="G366" s="7" t="s">
        <v>69</v>
      </c>
      <c r="H366" s="7">
        <v>99999</v>
      </c>
      <c r="I366" s="7" t="s">
        <v>30</v>
      </c>
      <c r="J366" s="7" t="s">
        <v>70</v>
      </c>
      <c r="K366" s="7" t="s">
        <v>32</v>
      </c>
      <c r="L366" s="7">
        <v>42004</v>
      </c>
      <c r="M366" s="7" t="s">
        <v>33</v>
      </c>
      <c r="N366" s="7" t="s">
        <v>71</v>
      </c>
      <c r="O366" s="7" t="s">
        <v>67</v>
      </c>
      <c r="P366" s="7" t="s">
        <v>68</v>
      </c>
      <c r="Q366" s="7" t="s">
        <v>69</v>
      </c>
      <c r="R366" s="7">
        <v>99999</v>
      </c>
      <c r="S366" s="7" t="s">
        <v>30</v>
      </c>
      <c r="T366" s="7" t="s">
        <v>35</v>
      </c>
      <c r="U366" s="7" t="s">
        <v>143</v>
      </c>
      <c r="V366" s="7" t="s">
        <v>144</v>
      </c>
      <c r="W366" s="7">
        <v>39</v>
      </c>
      <c r="X366" s="7">
        <v>54</v>
      </c>
      <c r="Y366" s="10">
        <v>2106</v>
      </c>
      <c r="Z366" s="9">
        <v>214.81200000000004</v>
      </c>
    </row>
    <row r="367" spans="1:26" x14ac:dyDescent="0.35">
      <c r="A367" s="7">
        <v>1429</v>
      </c>
      <c r="B367" s="8">
        <v>41979</v>
      </c>
      <c r="C367" s="7">
        <v>6</v>
      </c>
      <c r="D367" s="7" t="s">
        <v>82</v>
      </c>
      <c r="E367" s="7" t="s">
        <v>83</v>
      </c>
      <c r="F367" s="7" t="s">
        <v>84</v>
      </c>
      <c r="G367" s="7" t="s">
        <v>85</v>
      </c>
      <c r="H367" s="7">
        <v>99999</v>
      </c>
      <c r="I367" s="7" t="s">
        <v>30</v>
      </c>
      <c r="J367" s="7" t="s">
        <v>86</v>
      </c>
      <c r="K367" s="7" t="s">
        <v>61</v>
      </c>
      <c r="L367" s="8">
        <v>41981</v>
      </c>
      <c r="M367" s="7" t="s">
        <v>62</v>
      </c>
      <c r="N367" s="7" t="s">
        <v>87</v>
      </c>
      <c r="O367" s="7" t="s">
        <v>83</v>
      </c>
      <c r="P367" s="7" t="s">
        <v>84</v>
      </c>
      <c r="Q367" s="7" t="s">
        <v>85</v>
      </c>
      <c r="R367" s="7">
        <v>99999</v>
      </c>
      <c r="S367" s="7" t="s">
        <v>30</v>
      </c>
      <c r="T367" s="7" t="s">
        <v>35</v>
      </c>
      <c r="U367" s="7" t="s">
        <v>49</v>
      </c>
      <c r="V367" s="7" t="s">
        <v>39</v>
      </c>
      <c r="W367" s="7">
        <v>30</v>
      </c>
      <c r="X367" s="7">
        <v>33</v>
      </c>
      <c r="Y367" s="10">
        <v>990</v>
      </c>
      <c r="Z367" s="9">
        <v>95.039999999999992</v>
      </c>
    </row>
    <row r="368" spans="1:26" x14ac:dyDescent="0.35">
      <c r="A368" s="7">
        <v>1430</v>
      </c>
      <c r="B368" s="8">
        <v>41979</v>
      </c>
      <c r="C368" s="7">
        <v>6</v>
      </c>
      <c r="D368" s="7" t="s">
        <v>82</v>
      </c>
      <c r="E368" s="7" t="s">
        <v>83</v>
      </c>
      <c r="F368" s="7" t="s">
        <v>84</v>
      </c>
      <c r="G368" s="7" t="s">
        <v>85</v>
      </c>
      <c r="H368" s="7">
        <v>99999</v>
      </c>
      <c r="I368" s="7" t="s">
        <v>30</v>
      </c>
      <c r="J368" s="7" t="s">
        <v>86</v>
      </c>
      <c r="K368" s="7" t="s">
        <v>61</v>
      </c>
      <c r="L368" s="8">
        <v>41981</v>
      </c>
      <c r="M368" s="7" t="s">
        <v>62</v>
      </c>
      <c r="N368" s="7" t="s">
        <v>87</v>
      </c>
      <c r="O368" s="7" t="s">
        <v>83</v>
      </c>
      <c r="P368" s="7" t="s">
        <v>84</v>
      </c>
      <c r="Q368" s="7" t="s">
        <v>85</v>
      </c>
      <c r="R368" s="7">
        <v>99999</v>
      </c>
      <c r="S368" s="7" t="s">
        <v>30</v>
      </c>
      <c r="T368" s="7" t="s">
        <v>35</v>
      </c>
      <c r="U368" s="7" t="s">
        <v>50</v>
      </c>
      <c r="V368" s="7" t="s">
        <v>39</v>
      </c>
      <c r="W368" s="7">
        <v>53</v>
      </c>
      <c r="X368" s="7">
        <v>34</v>
      </c>
      <c r="Y368" s="10">
        <v>1802</v>
      </c>
      <c r="Z368" s="9">
        <v>185.60600000000002</v>
      </c>
    </row>
    <row r="369" spans="1:26" x14ac:dyDescent="0.35">
      <c r="A369" s="7">
        <v>1431</v>
      </c>
      <c r="B369" s="8">
        <v>41977</v>
      </c>
      <c r="C369" s="7">
        <v>4</v>
      </c>
      <c r="D369" s="7" t="s">
        <v>40</v>
      </c>
      <c r="E369" s="7" t="s">
        <v>41</v>
      </c>
      <c r="F369" s="7" t="s">
        <v>42</v>
      </c>
      <c r="G369" s="7" t="s">
        <v>43</v>
      </c>
      <c r="H369" s="7">
        <v>99999</v>
      </c>
      <c r="I369" s="7" t="s">
        <v>30</v>
      </c>
      <c r="J369" s="7" t="s">
        <v>44</v>
      </c>
      <c r="K369" s="7" t="s">
        <v>45</v>
      </c>
      <c r="L369" s="8"/>
      <c r="N369" s="7" t="s">
        <v>47</v>
      </c>
      <c r="O369" s="7" t="s">
        <v>41</v>
      </c>
      <c r="P369" s="7" t="s">
        <v>42</v>
      </c>
      <c r="Q369" s="7" t="s">
        <v>43</v>
      </c>
      <c r="R369" s="7">
        <v>99999</v>
      </c>
      <c r="S369" s="7" t="s">
        <v>30</v>
      </c>
      <c r="U369" s="7" t="s">
        <v>145</v>
      </c>
      <c r="V369" s="7" t="s">
        <v>132</v>
      </c>
      <c r="W369" s="9">
        <v>38</v>
      </c>
      <c r="X369" s="7">
        <v>59</v>
      </c>
      <c r="Y369" s="10">
        <v>2242</v>
      </c>
      <c r="Z369" s="9">
        <v>226.44200000000001</v>
      </c>
    </row>
    <row r="370" spans="1:26" x14ac:dyDescent="0.35">
      <c r="A370" s="7">
        <v>1432</v>
      </c>
      <c r="B370" s="8">
        <v>41976</v>
      </c>
      <c r="C370" s="7">
        <v>3</v>
      </c>
      <c r="D370" s="7" t="s">
        <v>74</v>
      </c>
      <c r="E370" s="7" t="s">
        <v>75</v>
      </c>
      <c r="F370" s="7" t="s">
        <v>76</v>
      </c>
      <c r="G370" s="7" t="s">
        <v>77</v>
      </c>
      <c r="H370" s="7">
        <v>99999</v>
      </c>
      <c r="I370" s="7" t="s">
        <v>30</v>
      </c>
      <c r="J370" s="7" t="s">
        <v>31</v>
      </c>
      <c r="K370" s="7" t="s">
        <v>32</v>
      </c>
      <c r="L370" s="8"/>
      <c r="N370" s="7" t="s">
        <v>78</v>
      </c>
      <c r="O370" s="7" t="s">
        <v>75</v>
      </c>
      <c r="P370" s="7" t="s">
        <v>76</v>
      </c>
      <c r="Q370" s="7" t="s">
        <v>77</v>
      </c>
      <c r="R370" s="7">
        <v>99999</v>
      </c>
      <c r="S370" s="7" t="s">
        <v>30</v>
      </c>
      <c r="U370" s="7" t="s">
        <v>103</v>
      </c>
      <c r="V370" s="7" t="s">
        <v>37</v>
      </c>
      <c r="W370" s="9">
        <v>2.99</v>
      </c>
      <c r="X370" s="7">
        <v>24</v>
      </c>
      <c r="Y370" s="10">
        <v>71.760000000000005</v>
      </c>
      <c r="Z370" s="9">
        <v>7.1042400000000008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5" x14ac:dyDescent="0.35"/>
  <sheetData>
    <row r="19" spans="2:3" x14ac:dyDescent="0.35">
      <c r="B19" s="2" t="s">
        <v>153</v>
      </c>
      <c r="C19" t="s">
        <v>154</v>
      </c>
    </row>
    <row r="20" spans="2:3" x14ac:dyDescent="0.35">
      <c r="B20" s="2" t="s">
        <v>152</v>
      </c>
      <c r="C20" s="1" t="s">
        <v>155</v>
      </c>
    </row>
  </sheetData>
  <hyperlinks>
    <hyperlink ref="C20"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275F-8096-47D7-8727-C2D0ABD484DE}">
  <dimension ref="A1"/>
  <sheetViews>
    <sheetView showGridLines="0" topLeftCell="A28" zoomScale="65" zoomScaleNormal="65" workbookViewId="0">
      <selection activeCell="M60" sqref="M60"/>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8A64-7C7B-43F8-9B7D-0FBF36D5BB1B}">
  <dimension ref="A3:B12"/>
  <sheetViews>
    <sheetView zoomScaleNormal="100" workbookViewId="0">
      <selection activeCell="K17" sqref="K17"/>
    </sheetView>
  </sheetViews>
  <sheetFormatPr defaultRowHeight="14.5" x14ac:dyDescent="0.35"/>
  <cols>
    <col min="1" max="1" width="15.296875" customWidth="1"/>
    <col min="2" max="2" width="14.3984375" customWidth="1"/>
  </cols>
  <sheetData>
    <row r="3" spans="1:2" x14ac:dyDescent="0.35">
      <c r="A3" s="11" t="s">
        <v>167</v>
      </c>
      <c r="B3" t="s">
        <v>169</v>
      </c>
    </row>
    <row r="4" spans="1:2" x14ac:dyDescent="0.35">
      <c r="A4" s="7" t="s">
        <v>70</v>
      </c>
      <c r="B4" s="12">
        <v>16350.5</v>
      </c>
    </row>
    <row r="5" spans="1:2" x14ac:dyDescent="0.35">
      <c r="A5" s="7" t="s">
        <v>129</v>
      </c>
      <c r="B5" s="12">
        <v>32530.6</v>
      </c>
    </row>
    <row r="6" spans="1:2" x14ac:dyDescent="0.35">
      <c r="A6" s="7" t="s">
        <v>86</v>
      </c>
      <c r="B6" s="12">
        <v>37428</v>
      </c>
    </row>
    <row r="7" spans="1:2" x14ac:dyDescent="0.35">
      <c r="A7" s="7" t="s">
        <v>101</v>
      </c>
      <c r="B7" s="12">
        <v>41095.01</v>
      </c>
    </row>
    <row r="8" spans="1:2" x14ac:dyDescent="0.35">
      <c r="A8" s="7" t="s">
        <v>31</v>
      </c>
      <c r="B8" s="12">
        <v>42370.880000000005</v>
      </c>
    </row>
    <row r="9" spans="1:2" x14ac:dyDescent="0.35">
      <c r="A9" s="7" t="s">
        <v>44</v>
      </c>
      <c r="B9" s="12">
        <v>67180.5</v>
      </c>
    </row>
    <row r="10" spans="1:2" x14ac:dyDescent="0.35">
      <c r="A10" s="7" t="s">
        <v>94</v>
      </c>
      <c r="B10" s="12">
        <v>93858.329999999987</v>
      </c>
    </row>
    <row r="11" spans="1:2" x14ac:dyDescent="0.35">
      <c r="A11" s="7" t="s">
        <v>60</v>
      </c>
      <c r="B11" s="12">
        <v>104252.33999999997</v>
      </c>
    </row>
    <row r="12" spans="1:2" x14ac:dyDescent="0.35">
      <c r="A12" s="7" t="s">
        <v>168</v>
      </c>
      <c r="B12" s="12">
        <v>435066.15999999992</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C0FB-89FF-43AD-8787-C53184CE9385}">
  <dimension ref="A3:B8"/>
  <sheetViews>
    <sheetView workbookViewId="0">
      <selection activeCell="AE29" sqref="AE29"/>
    </sheetView>
  </sheetViews>
  <sheetFormatPr defaultRowHeight="14.5" x14ac:dyDescent="0.35"/>
  <cols>
    <col min="1" max="1" width="12.3984375" customWidth="1"/>
    <col min="2" max="2" width="14.3984375" customWidth="1"/>
  </cols>
  <sheetData>
    <row r="3" spans="1:2" x14ac:dyDescent="0.35">
      <c r="A3" s="11" t="s">
        <v>167</v>
      </c>
      <c r="B3" t="s">
        <v>169</v>
      </c>
    </row>
    <row r="4" spans="1:2" x14ac:dyDescent="0.35">
      <c r="A4" s="7" t="s">
        <v>61</v>
      </c>
      <c r="B4" s="12">
        <v>141680.33999999997</v>
      </c>
    </row>
    <row r="5" spans="1:2" x14ac:dyDescent="0.35">
      <c r="A5" s="7" t="s">
        <v>45</v>
      </c>
      <c r="B5" s="12">
        <v>108275.51</v>
      </c>
    </row>
    <row r="6" spans="1:2" x14ac:dyDescent="0.35">
      <c r="A6" s="7" t="s">
        <v>95</v>
      </c>
      <c r="B6" s="12">
        <v>93858.329999999987</v>
      </c>
    </row>
    <row r="7" spans="1:2" x14ac:dyDescent="0.35">
      <c r="A7" s="7" t="s">
        <v>32</v>
      </c>
      <c r="B7" s="12">
        <v>91251.979999999981</v>
      </c>
    </row>
    <row r="8" spans="1:2" x14ac:dyDescent="0.35">
      <c r="A8" s="7" t="s">
        <v>168</v>
      </c>
      <c r="B8" s="12">
        <v>435066.15999999992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8DF0-4389-4C7B-BFA3-944F26253DCD}">
  <dimension ref="A3:B7"/>
  <sheetViews>
    <sheetView workbookViewId="0">
      <selection activeCell="L20" sqref="L20"/>
    </sheetView>
  </sheetViews>
  <sheetFormatPr defaultRowHeight="14.5" x14ac:dyDescent="0.35"/>
  <cols>
    <col min="1" max="1" width="12.3984375" customWidth="1"/>
    <col min="2" max="2" width="14.3984375" customWidth="1"/>
  </cols>
  <sheetData>
    <row r="3" spans="1:2" x14ac:dyDescent="0.35">
      <c r="A3" s="11" t="s">
        <v>167</v>
      </c>
      <c r="B3" t="s">
        <v>169</v>
      </c>
    </row>
    <row r="4" spans="1:2" x14ac:dyDescent="0.35">
      <c r="A4" s="7" t="s">
        <v>40</v>
      </c>
      <c r="B4" s="12">
        <v>67180.5</v>
      </c>
    </row>
    <row r="5" spans="1:2" x14ac:dyDescent="0.35">
      <c r="A5" s="7" t="s">
        <v>56</v>
      </c>
      <c r="B5" s="12">
        <v>50208.35</v>
      </c>
    </row>
    <row r="6" spans="1:2" x14ac:dyDescent="0.35">
      <c r="A6" s="7" t="s">
        <v>90</v>
      </c>
      <c r="B6" s="12">
        <v>43713</v>
      </c>
    </row>
    <row r="7" spans="1:2" x14ac:dyDescent="0.35">
      <c r="A7" s="7" t="s">
        <v>168</v>
      </c>
      <c r="B7" s="12">
        <v>161101.85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1920-2FC5-47EB-A6E8-DB886F79C74B}">
  <dimension ref="A3:B16"/>
  <sheetViews>
    <sheetView workbookViewId="0">
      <selection activeCell="G18" sqref="G18"/>
    </sheetView>
  </sheetViews>
  <sheetFormatPr defaultRowHeight="14.5" x14ac:dyDescent="0.35"/>
  <cols>
    <col min="1" max="1" width="12.3984375" customWidth="1"/>
    <col min="2" max="2" width="14.3984375" customWidth="1"/>
  </cols>
  <sheetData>
    <row r="3" spans="1:2" x14ac:dyDescent="0.35">
      <c r="A3" s="11" t="s">
        <v>167</v>
      </c>
      <c r="B3" t="s">
        <v>169</v>
      </c>
    </row>
    <row r="4" spans="1:2" x14ac:dyDescent="0.35">
      <c r="A4" s="7" t="s">
        <v>170</v>
      </c>
      <c r="B4" s="12">
        <v>32907.839999999997</v>
      </c>
    </row>
    <row r="5" spans="1:2" x14ac:dyDescent="0.35">
      <c r="A5" s="7" t="s">
        <v>171</v>
      </c>
      <c r="B5" s="12">
        <v>19985.5</v>
      </c>
    </row>
    <row r="6" spans="1:2" x14ac:dyDescent="0.35">
      <c r="A6" s="7" t="s">
        <v>187</v>
      </c>
      <c r="B6" s="12">
        <v>30852.6</v>
      </c>
    </row>
    <row r="7" spans="1:2" x14ac:dyDescent="0.35">
      <c r="A7" s="7" t="s">
        <v>172</v>
      </c>
      <c r="B7" s="12">
        <v>20771.789999999997</v>
      </c>
    </row>
    <row r="8" spans="1:2" x14ac:dyDescent="0.35">
      <c r="A8" s="7" t="s">
        <v>173</v>
      </c>
      <c r="B8" s="12">
        <v>34307.049999999996</v>
      </c>
    </row>
    <row r="9" spans="1:2" x14ac:dyDescent="0.35">
      <c r="A9" s="7" t="s">
        <v>174</v>
      </c>
      <c r="B9" s="12">
        <v>55601.61</v>
      </c>
    </row>
    <row r="10" spans="1:2" x14ac:dyDescent="0.35">
      <c r="A10" s="7" t="s">
        <v>188</v>
      </c>
      <c r="B10" s="12">
        <v>27318.539999999997</v>
      </c>
    </row>
    <row r="11" spans="1:2" x14ac:dyDescent="0.35">
      <c r="A11" s="7" t="s">
        <v>175</v>
      </c>
      <c r="B11" s="12">
        <v>29921.459999999995</v>
      </c>
    </row>
    <row r="12" spans="1:2" x14ac:dyDescent="0.35">
      <c r="A12" s="7" t="s">
        <v>189</v>
      </c>
      <c r="B12" s="12">
        <v>31949.97</v>
      </c>
    </row>
    <row r="13" spans="1:2" x14ac:dyDescent="0.35">
      <c r="A13" s="7" t="s">
        <v>176</v>
      </c>
      <c r="B13" s="12">
        <v>53033.59</v>
      </c>
    </row>
    <row r="14" spans="1:2" x14ac:dyDescent="0.35">
      <c r="A14" s="7" t="s">
        <v>177</v>
      </c>
      <c r="B14" s="12">
        <v>31773.429999999997</v>
      </c>
    </row>
    <row r="15" spans="1:2" x14ac:dyDescent="0.35">
      <c r="A15" s="7" t="s">
        <v>178</v>
      </c>
      <c r="B15" s="12">
        <v>66642.78</v>
      </c>
    </row>
    <row r="16" spans="1:2" x14ac:dyDescent="0.35">
      <c r="A16" s="7" t="s">
        <v>168</v>
      </c>
      <c r="B16" s="12">
        <v>435066.15999999992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96FC-ACB0-4C9C-96DE-9AD33599DF31}">
  <dimension ref="A3:B7"/>
  <sheetViews>
    <sheetView zoomScaleNormal="100" workbookViewId="0">
      <selection activeCell="G16" sqref="G16"/>
    </sheetView>
  </sheetViews>
  <sheetFormatPr defaultRowHeight="14.5" x14ac:dyDescent="0.35"/>
  <cols>
    <col min="1" max="1" width="14" customWidth="1"/>
    <col min="2" max="2" width="14.3984375" customWidth="1"/>
  </cols>
  <sheetData>
    <row r="3" spans="1:2" x14ac:dyDescent="0.35">
      <c r="A3" s="11" t="s">
        <v>167</v>
      </c>
      <c r="B3" t="s">
        <v>169</v>
      </c>
    </row>
    <row r="4" spans="1:2" x14ac:dyDescent="0.35">
      <c r="A4" s="7" t="s">
        <v>37</v>
      </c>
      <c r="B4" s="12">
        <v>110577.10999999999</v>
      </c>
    </row>
    <row r="5" spans="1:2" x14ac:dyDescent="0.35">
      <c r="A5" s="7" t="s">
        <v>89</v>
      </c>
      <c r="B5" s="12">
        <v>69000</v>
      </c>
    </row>
    <row r="6" spans="1:2" x14ac:dyDescent="0.35">
      <c r="A6" s="7" t="s">
        <v>110</v>
      </c>
      <c r="B6" s="12">
        <v>51541</v>
      </c>
    </row>
    <row r="7" spans="1:2" x14ac:dyDescent="0.35">
      <c r="A7" s="7" t="s">
        <v>168</v>
      </c>
      <c r="B7" s="12">
        <v>231118.11</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E3C0-1577-4C19-A431-98A503A086F4}">
  <dimension ref="A3:B11"/>
  <sheetViews>
    <sheetView topLeftCell="A4" zoomScale="85" zoomScaleNormal="85" workbookViewId="0">
      <selection activeCell="AE20" sqref="AE20"/>
    </sheetView>
  </sheetViews>
  <sheetFormatPr defaultRowHeight="14.5" x14ac:dyDescent="0.35"/>
  <cols>
    <col min="1" max="1" width="13.296875" customWidth="1"/>
    <col min="2" max="2" width="16.19921875" customWidth="1"/>
  </cols>
  <sheetData>
    <row r="3" spans="1:2" x14ac:dyDescent="0.35">
      <c r="A3" s="11" t="s">
        <v>167</v>
      </c>
      <c r="B3" t="s">
        <v>183</v>
      </c>
    </row>
    <row r="4" spans="1:2" x14ac:dyDescent="0.35">
      <c r="A4" s="9" t="s">
        <v>182</v>
      </c>
      <c r="B4">
        <v>218</v>
      </c>
    </row>
    <row r="5" spans="1:2" x14ac:dyDescent="0.35">
      <c r="A5" s="9" t="s">
        <v>181</v>
      </c>
      <c r="B5">
        <v>85</v>
      </c>
    </row>
    <row r="6" spans="1:2" x14ac:dyDescent="0.35">
      <c r="A6" s="9" t="s">
        <v>180</v>
      </c>
      <c r="B6">
        <v>31</v>
      </c>
    </row>
    <row r="7" spans="1:2" x14ac:dyDescent="0.35">
      <c r="A7" s="9" t="s">
        <v>190</v>
      </c>
      <c r="B7">
        <v>24</v>
      </c>
    </row>
    <row r="8" spans="1:2" x14ac:dyDescent="0.35">
      <c r="A8" s="9" t="s">
        <v>191</v>
      </c>
      <c r="B8">
        <v>8</v>
      </c>
    </row>
    <row r="9" spans="1:2" x14ac:dyDescent="0.35">
      <c r="A9" s="9" t="s">
        <v>192</v>
      </c>
      <c r="B9">
        <v>2</v>
      </c>
    </row>
    <row r="10" spans="1:2" x14ac:dyDescent="0.35">
      <c r="A10" s="9" t="s">
        <v>193</v>
      </c>
      <c r="B10">
        <v>1</v>
      </c>
    </row>
    <row r="11" spans="1:2" x14ac:dyDescent="0.35">
      <c r="A11" s="9" t="s">
        <v>168</v>
      </c>
      <c r="B11">
        <v>369</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EC02-9A94-4299-8075-FC4482492CDB}">
  <dimension ref="A3:B9"/>
  <sheetViews>
    <sheetView zoomScale="85" zoomScaleNormal="85" workbookViewId="0">
      <selection activeCell="D17" sqref="D17"/>
    </sheetView>
  </sheetViews>
  <sheetFormatPr defaultRowHeight="14.5" x14ac:dyDescent="0.35"/>
  <cols>
    <col min="1" max="1" width="13.296875" customWidth="1"/>
    <col min="2" max="2" width="14.796875" customWidth="1"/>
  </cols>
  <sheetData>
    <row r="3" spans="1:2" x14ac:dyDescent="0.35">
      <c r="A3" s="11" t="s">
        <v>167</v>
      </c>
      <c r="B3" t="s">
        <v>169</v>
      </c>
    </row>
    <row r="4" spans="1:2" x14ac:dyDescent="0.35">
      <c r="A4" s="7" t="s">
        <v>42</v>
      </c>
      <c r="B4" s="12">
        <v>67180.5</v>
      </c>
    </row>
    <row r="5" spans="1:2" x14ac:dyDescent="0.35">
      <c r="A5" s="7" t="s">
        <v>58</v>
      </c>
      <c r="B5" s="12">
        <v>50208.35</v>
      </c>
    </row>
    <row r="6" spans="1:2" x14ac:dyDescent="0.35">
      <c r="A6" s="7" t="s">
        <v>115</v>
      </c>
      <c r="B6" s="12">
        <v>50145.330000000009</v>
      </c>
    </row>
    <row r="7" spans="1:2" x14ac:dyDescent="0.35">
      <c r="A7" s="7" t="s">
        <v>92</v>
      </c>
      <c r="B7" s="12">
        <v>43713</v>
      </c>
    </row>
    <row r="8" spans="1:2" x14ac:dyDescent="0.35">
      <c r="A8" s="7" t="s">
        <v>99</v>
      </c>
      <c r="B8" s="12">
        <v>41095.01</v>
      </c>
    </row>
    <row r="9" spans="1:2" x14ac:dyDescent="0.35">
      <c r="A9" s="7" t="s">
        <v>168</v>
      </c>
      <c r="B9" s="12">
        <v>252342.19000000003</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4376-378F-4E45-8193-5035A83B7D23}">
  <dimension ref="A3:B10"/>
  <sheetViews>
    <sheetView zoomScale="85" zoomScaleNormal="85" workbookViewId="0">
      <selection activeCell="AE46" sqref="AE46"/>
    </sheetView>
  </sheetViews>
  <sheetFormatPr defaultRowHeight="14.5" x14ac:dyDescent="0.35"/>
  <cols>
    <col min="1" max="1" width="13.296875" customWidth="1"/>
    <col min="2" max="2" width="14.796875" customWidth="1"/>
  </cols>
  <sheetData>
    <row r="3" spans="1:2" x14ac:dyDescent="0.35">
      <c r="A3" s="11" t="s">
        <v>167</v>
      </c>
      <c r="B3" t="s">
        <v>169</v>
      </c>
    </row>
    <row r="4" spans="1:2" x14ac:dyDescent="0.35">
      <c r="A4" s="7" t="s">
        <v>42</v>
      </c>
      <c r="B4" s="12">
        <v>67180.5</v>
      </c>
    </row>
    <row r="5" spans="1:2" x14ac:dyDescent="0.35">
      <c r="A5" s="7" t="s">
        <v>58</v>
      </c>
      <c r="B5" s="12">
        <v>50208.35</v>
      </c>
    </row>
    <row r="6" spans="1:2" x14ac:dyDescent="0.35">
      <c r="A6" s="7" t="s">
        <v>115</v>
      </c>
      <c r="B6" s="12">
        <v>50145.330000000009</v>
      </c>
    </row>
    <row r="7" spans="1:2" x14ac:dyDescent="0.35">
      <c r="A7" s="7" t="s">
        <v>92</v>
      </c>
      <c r="B7" s="12">
        <v>43713</v>
      </c>
    </row>
    <row r="8" spans="1:2" x14ac:dyDescent="0.35">
      <c r="A8" s="7" t="s">
        <v>99</v>
      </c>
      <c r="B8" s="12">
        <v>41095.01</v>
      </c>
    </row>
    <row r="9" spans="1:2" x14ac:dyDescent="0.35">
      <c r="A9" s="7" t="s">
        <v>84</v>
      </c>
      <c r="B9" s="12">
        <v>37428</v>
      </c>
    </row>
    <row r="10" spans="1:2" x14ac:dyDescent="0.35">
      <c r="A10" s="7" t="s">
        <v>168</v>
      </c>
      <c r="B10" s="12">
        <v>289770.19</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FC64-FC01-460D-9EBF-040F7A8A947B}">
  <dimension ref="A1"/>
  <sheetViews>
    <sheetView showGridLines="0" topLeftCell="AF6" zoomScale="44" zoomScaleNormal="44" workbookViewId="0">
      <selection activeCell="AZ49" sqref="AZ49"/>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0F44-0E17-4C3B-A511-BABB8ADFD5D5}">
  <dimension ref="A3:E16"/>
  <sheetViews>
    <sheetView zoomScale="93" zoomScaleNormal="93" workbookViewId="0">
      <selection activeCell="AE20" sqref="AE20"/>
    </sheetView>
  </sheetViews>
  <sheetFormatPr defaultRowHeight="14.5" x14ac:dyDescent="0.35"/>
  <cols>
    <col min="1" max="1" width="13" customWidth="1"/>
    <col min="2" max="2" width="15" customWidth="1"/>
    <col min="5" max="5" width="11.69921875" customWidth="1"/>
  </cols>
  <sheetData>
    <row r="3" spans="1:5" ht="15.5" x14ac:dyDescent="0.35">
      <c r="A3" s="11" t="s">
        <v>167</v>
      </c>
      <c r="B3" t="s">
        <v>169</v>
      </c>
      <c r="D3" s="14" t="s">
        <v>185</v>
      </c>
      <c r="E3" s="14" t="s">
        <v>24</v>
      </c>
    </row>
    <row r="4" spans="1:5" x14ac:dyDescent="0.35">
      <c r="A4" s="7" t="s">
        <v>77</v>
      </c>
      <c r="B4" s="13">
        <v>27005.38</v>
      </c>
      <c r="D4" s="15" t="s">
        <v>43</v>
      </c>
      <c r="E4" s="15">
        <v>67180.5</v>
      </c>
    </row>
    <row r="5" spans="1:5" x14ac:dyDescent="0.35">
      <c r="A5" s="7" t="s">
        <v>69</v>
      </c>
      <c r="B5" s="13">
        <v>16350.5</v>
      </c>
      <c r="D5" s="15" t="s">
        <v>59</v>
      </c>
      <c r="E5" s="15">
        <v>50208.35</v>
      </c>
    </row>
    <row r="6" spans="1:5" x14ac:dyDescent="0.35">
      <c r="A6" s="7" t="s">
        <v>116</v>
      </c>
      <c r="B6" s="13">
        <v>50145.330000000009</v>
      </c>
      <c r="D6" s="15" t="s">
        <v>116</v>
      </c>
      <c r="E6" s="15">
        <v>50145.330000000009</v>
      </c>
    </row>
    <row r="7" spans="1:5" x14ac:dyDescent="0.35">
      <c r="A7" s="7" t="s">
        <v>107</v>
      </c>
      <c r="B7" s="13">
        <v>17204</v>
      </c>
      <c r="D7" s="15" t="s">
        <v>93</v>
      </c>
      <c r="E7" s="15">
        <v>43713</v>
      </c>
    </row>
    <row r="8" spans="1:5" x14ac:dyDescent="0.35">
      <c r="A8" s="7" t="s">
        <v>100</v>
      </c>
      <c r="B8" s="13">
        <v>41095.01</v>
      </c>
      <c r="D8" s="15" t="s">
        <v>100</v>
      </c>
      <c r="E8" s="15">
        <v>41095.01</v>
      </c>
    </row>
    <row r="9" spans="1:5" x14ac:dyDescent="0.35">
      <c r="A9" s="7" t="s">
        <v>29</v>
      </c>
      <c r="B9" s="13">
        <v>15365.5</v>
      </c>
      <c r="D9" s="15" t="s">
        <v>85</v>
      </c>
      <c r="E9" s="15">
        <v>37428</v>
      </c>
    </row>
    <row r="10" spans="1:5" x14ac:dyDescent="0.35">
      <c r="A10" s="7" t="s">
        <v>43</v>
      </c>
      <c r="B10" s="13">
        <v>67180.5</v>
      </c>
      <c r="D10" s="15" t="s">
        <v>121</v>
      </c>
      <c r="E10" s="15">
        <v>36839.990000000005</v>
      </c>
    </row>
    <row r="11" spans="1:5" x14ac:dyDescent="0.35">
      <c r="A11" s="7" t="s">
        <v>59</v>
      </c>
      <c r="B11" s="13">
        <v>50208.35</v>
      </c>
      <c r="D11" s="15" t="s">
        <v>128</v>
      </c>
      <c r="E11" s="15">
        <v>32530.6</v>
      </c>
    </row>
    <row r="12" spans="1:5" x14ac:dyDescent="0.35">
      <c r="A12" s="7" t="s">
        <v>93</v>
      </c>
      <c r="B12" s="13">
        <v>43713</v>
      </c>
      <c r="D12" s="15" t="s">
        <v>77</v>
      </c>
      <c r="E12" s="15">
        <v>27005.38</v>
      </c>
    </row>
    <row r="13" spans="1:5" x14ac:dyDescent="0.35">
      <c r="A13" s="7" t="s">
        <v>128</v>
      </c>
      <c r="B13" s="13">
        <v>32530.6</v>
      </c>
      <c r="D13" s="15" t="s">
        <v>107</v>
      </c>
      <c r="E13" s="15">
        <v>17204</v>
      </c>
    </row>
    <row r="14" spans="1:5" x14ac:dyDescent="0.35">
      <c r="A14" s="7" t="s">
        <v>121</v>
      </c>
      <c r="B14" s="13">
        <v>36839.990000000005</v>
      </c>
      <c r="D14" s="15" t="s">
        <v>69</v>
      </c>
      <c r="E14" s="15">
        <v>16350.5</v>
      </c>
    </row>
    <row r="15" spans="1:5" x14ac:dyDescent="0.35">
      <c r="A15" s="7" t="s">
        <v>85</v>
      </c>
      <c r="B15" s="13">
        <v>37428</v>
      </c>
      <c r="D15" s="15" t="s">
        <v>29</v>
      </c>
      <c r="E15" s="15">
        <v>15365.5</v>
      </c>
    </row>
    <row r="16" spans="1:5" x14ac:dyDescent="0.35">
      <c r="A16" s="7" t="s">
        <v>168</v>
      </c>
      <c r="B16">
        <v>435066.16</v>
      </c>
    </row>
  </sheetData>
  <sortState xmlns:xlrd2="http://schemas.microsoft.com/office/spreadsheetml/2017/richdata2" ref="D4:E15">
    <sortCondition descending="1" ref="E4:E15"/>
  </sortState>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157BC-BD57-494D-81F2-4C9B69815584}">
  <dimension ref="F7"/>
  <sheetViews>
    <sheetView showGridLines="0" zoomScale="60" zoomScaleNormal="60" workbookViewId="0">
      <selection activeCell="AB55" sqref="AB55"/>
    </sheetView>
  </sheetViews>
  <sheetFormatPr defaultRowHeight="14.5" x14ac:dyDescent="0.35"/>
  <cols>
    <col min="1" max="16384" width="8.796875" style="16"/>
  </cols>
  <sheetData>
    <row r="7" spans="6:6" x14ac:dyDescent="0.35">
      <c r="F7" s="16" t="s">
        <v>186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9215E-8D4D-411B-BC2B-3C164E2D6B45}">
  <dimension ref="A1"/>
  <sheetViews>
    <sheetView showGridLines="0" zoomScale="50" zoomScaleNormal="50" workbookViewId="0">
      <selection activeCell="AI23" sqref="AI23"/>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6887-91E3-4C3F-A8E0-DEBAD45DA6A5}">
  <dimension ref="A1"/>
  <sheetViews>
    <sheetView showGridLines="0" topLeftCell="A13" zoomScale="50" zoomScaleNormal="50" workbookViewId="0">
      <selection activeCell="AJ10" sqref="AJ1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Task</vt:lpstr>
      <vt:lpstr>Data</vt:lpstr>
      <vt:lpstr>Pivot Table Diagram</vt:lpstr>
      <vt:lpstr>Pre- analisis board</vt:lpstr>
      <vt:lpstr>Sales by Rep</vt:lpstr>
      <vt:lpstr>Sales by Region</vt:lpstr>
      <vt:lpstr>top ten customers</vt:lpstr>
      <vt:lpstr>Sales Trend</vt:lpstr>
      <vt:lpstr>Sales by product</vt:lpstr>
      <vt:lpstr>Transaction by Amount.</vt:lpstr>
      <vt:lpstr>Top 5 cities by revenue </vt:lpstr>
      <vt:lpstr>Top 6 ship cities by revenue</vt:lpstr>
      <vt:lpstr>in-analysis board</vt:lpstr>
      <vt:lpstr>Performance by state</vt:lpstr>
      <vt:lpstr>Dash Board</vt:lpstr>
      <vt:lpstr>Post- analisis board  Observati</vt:lpstr>
      <vt:lpstr>Post- analyisis Recommendation </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Chinecherem Jennifer</cp:lastModifiedBy>
  <cp:lastPrinted>2025-08-24T01:56:55Z</cp:lastPrinted>
  <dcterms:created xsi:type="dcterms:W3CDTF">2015-01-21T18:43:03Z</dcterms:created>
  <dcterms:modified xsi:type="dcterms:W3CDTF">2025-12-05T07:22:22Z</dcterms:modified>
</cp:coreProperties>
</file>